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e7042710f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集客50・参考順" sheetId="1" r:id="Rfb4f117b8ecd46a1"/>
    <x:sheet xmlns:r="http://schemas.openxmlformats.org/officeDocument/2006/relationships" name="売上高50候補" sheetId="2" r:id="Rf7f17bb3137c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"/>
    <x:numFmt numFmtId="202" formatCode="0.00"/>
  </x:numFmts>
  <x:fonts count="7">
    <x:font>
      <x:sz val="11"/>
      <x:name val="Carlito"/>
    </x:font>
    <x:font>
      <x:sz val="11"/>
      <x:color rgb="FF243447"/>
      <x:name val="Arial"/>
    </x:font>
    <x:font>
      <x:b/>
      <x:sz val="16"/>
      <x:color rgb="FF243447"/>
      <x:name val="Arial"/>
    </x:font>
    <x:font>
      <x:sz val="11"/>
      <x:color rgb="FFA35E12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  <x:font>
      <x:sz val="11"/>
      <x:color rgb="FF4B647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94D70"/>
      </x:patternFill>
    </x:fill>
    <x:fill>
      <x:patternFill patternType="solid">
        <x:fgColor rgb="FFF3F6F8"/>
      </x:patternFill>
    </x:fill>
    <x:fill>
      <x:patternFill patternType="solid">
        <x:fgColor rgb="FFDCE5EC"/>
      </x:patternFill>
    </x:fill>
    <x:fill>
      <x:patternFill patternType="solid">
        <x:fgColor rgb="FFFFF2D5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FFF2D5"/>
        </x:patternFill>
      </x:fill>
    </x:dxf>
    <x:dxf>
      <x:fill>
        <x:patternFill patternType="solid">
          <x:bgColor rgb="FFFFF2D5"/>
        </x:patternFill>
      </x:fill>
    </x:dxf>
    <x:dxf>
      <x:fill>
        <x:patternFill patternType="solid">
          <x:bgColor rgb="FFFFF2D5"/>
        </x:patternFill>
      </x:fill>
    </x:dxf>
    <x:dxf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23b6ce339455e" /><Relationship Type="http://schemas.openxmlformats.org/officeDocument/2006/relationships/theme" Target="/xl/theme/theme1.xml" Id="R232b224dac5a4bcd" /><Relationship Type="http://schemas.openxmlformats.org/officeDocument/2006/relationships/sharedStrings" Target="/xl/sharedStrings.xml" Id="R9a7a8953107a48f7" /><Relationship Type="http://schemas.openxmlformats.org/officeDocument/2006/relationships/worksheet" Target="/xl/worksheets/sheet1.xml" Id="Rfb4f117b8ecd46a1" /><Relationship Type="http://schemas.openxmlformats.org/officeDocument/2006/relationships/worksheet" Target="/xl/worksheets/sheet2.xml" Id="Rf7f17bb3137c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D7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.4399995803833" hidden="0" customWidth="1"/>
    <x:col min="2" max="2" width="28" hidden="0" customWidth="1"/>
    <x:col min="3" max="3" width="10" hidden="0" customWidth="1"/>
    <x:col min="4" max="4" width="14.220000267028809" hidden="0" customWidth="1"/>
    <x:col min="5" max="5" width="7.559999942779541" hidden="0" customWidth="1"/>
    <x:col min="6" max="6" width="27.110000610351562" hidden="0" customWidth="1"/>
    <x:col min="7" max="7" width="45.560001373291016" hidden="0" customWidth="1"/>
    <x:col min="8" max="8" width="2.6700000762939453" hidden="0" customWidth="1"/>
    <x:col min="9" max="9" width="95.5599975585937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道の駅 集客規模50駅の公表値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全国TOP50を確定した表ではありません。確認した50駅の公表値を降順に表示しています。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 t="str">
        <x:v>年度・人数の定義・施設範囲が混在。実人数ではなく延べ人数を含みます。出典と集計範囲を確認してください。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 t="str">
        <x:v>調査日 2026年9月27日。概数は記載値で整列し、同額は同順位。近接する順位は確定できません。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29" customHeight="1">
      <x:c r="A7" s="7" t="str">
        <x:v>参考順</x:v>
      </x:c>
      <x:c r="B7" s="7" t="str">
        <x:v>道の駅</x:v>
      </x:c>
      <x:c r="C7" s="7" t="str">
        <x:v>都道府県</x:v>
      </x:c>
      <x:c r="D7" s="7" t="str">
        <x:v>年間集客（万人）</x:v>
      </x:c>
      <x:c r="E7" s="7" t="str">
        <x:v>原文表記</x:v>
      </x:c>
      <x:c r="F7" s="7" t="str">
        <x:v>対象期間</x:v>
      </x:c>
      <x:c r="G7" s="7" t="str">
        <x:v>集計範囲・比較上の注意</x:v>
      </x:c>
      <x:c r="H7" s="2"/>
      <x:c r="I7" s="2" t="str">
        <x:v>出典URL（各行の公表値）</x:v>
      </x:c>
    </x:row>
    <x:row r="8" ht="48" customHeight="1">
      <x:c r="A8" s="13" t="n">
        <x:f>COUNTIFS($D$8:$D$57,"&gt;"&amp;D8)+1</x:f>
        <x:v>1</x:v>
      </x:c>
      <x:c r="B8" s="8" t="str">
        <x:v>まえばし赤城</x:v>
      </x:c>
      <x:c r="C8" s="8" t="str">
        <x:v>群馬県</x:v>
      </x:c>
      <x:c r="D8" s="10" t="n">
        <x:v>440</x:v>
      </x:c>
      <x:c r="E8" s="13" t="str">
        <x:v>超</x:v>
      </x:c>
      <x:c r="F8" s="8" t="str">
        <x:v>2024年度</x:v>
      </x:c>
      <x:c r="G8" s="8" t="str">
        <x:v>施設全体</x:v>
      </x:c>
      <x:c r="H8" s="2"/>
      <x:c r="I8" s="12" t="str">
        <x:v>https://maebashi-akagi.jp/cms/wp-content/uploads/2024/07/78afea4b9edad797967145298656e041.pdf</x:v>
      </x:c>
    </x:row>
    <x:row r="9" ht="48" customHeight="1">
      <x:c r="A9" s="14" t="n">
        <x:f>COUNTIFS($D$8:$D$57,"&gt;"&amp;D9)+1</x:f>
        <x:v>2</x:v>
      </x:c>
      <x:c r="B9" s="15" t="str">
        <x:v>富士川楽座</x:v>
      </x:c>
      <x:c r="C9" s="15" t="str">
        <x:v>静岡県</x:v>
      </x:c>
      <x:c r="D9" s="16" t="n">
        <x:v>351</x:v>
      </x:c>
      <x:c r="E9" s="14" t="str">
        <x:v>約</x:v>
      </x:c>
      <x:c r="F9" s="15" t="str">
        <x:v>2024年度</x:v>
      </x:c>
      <x:c r="G9" s="15" t="str">
        <x:v>県観光統計の交流客数（延べ人数）</x:v>
      </x:c>
      <x:c r="H9" s="2"/>
      <x:c r="I9" s="12" t="str">
        <x:v>https://www.pref.shizuoka.jp/_res/projects/default_project/_page_/001/050/979/r6.pdf</x:v>
      </x:c>
    </x:row>
    <x:row r="10" ht="48" customHeight="1">
      <x:c r="A10" s="13" t="n">
        <x:f>COUNTIFS($D$8:$D$57,"&gt;"&amp;D10)+1</x:f>
        <x:v>3</x:v>
      </x:c>
      <x:c r="B10" s="8" t="str">
        <x:v>みぶ</x:v>
      </x:c>
      <x:c r="C10" s="8" t="str">
        <x:v>栃木県</x:v>
      </x:c>
      <x:c r="D10" s="10" t="n">
        <x:v>350</x:v>
      </x:c>
      <x:c r="E10" s="13" t="str">
        <x:v>約</x:v>
      </x:c>
      <x:c r="F10" s="8" t="str">
        <x:v>年度不明（2024年6月報道）</x:v>
      </x:c>
      <x:c r="G10" s="8" t="str">
        <x:v>公園・博物館・ハイウェーパークの４施設合計</x:v>
      </x:c>
      <x:c r="H10" s="2"/>
      <x:c r="I10" s="12" t="str">
        <x:v>https://www.shimotsuke.co.jp/articles/-/905432</x:v>
      </x:c>
    </x:row>
    <x:row r="11" ht="48" customHeight="1">
      <x:c r="A11" s="14" t="n">
        <x:f>COUNTIFS($D$8:$D$57,"&gt;"&amp;D11)+1</x:f>
        <x:v>4</x:v>
      </x:c>
      <x:c r="B11" s="15" t="str">
        <x:v>あ・ら・伊達な道の駅</x:v>
      </x:c>
      <x:c r="C11" s="15" t="str">
        <x:v>宮城県</x:v>
      </x:c>
      <x:c r="D11" s="16" t="n">
        <x:v>320</x:v>
      </x:c>
      <x:c r="E11" s="14" t="str">
        <x:v>約</x:v>
      </x:c>
      <x:c r="F11" s="15" t="str">
        <x:v>年度不明（2025年9月取材）</x:v>
      </x:c>
      <x:c r="G11" s="15" t="str">
        <x:v>直近年間値・社長取材</x:v>
      </x:c>
      <x:c r="H11" s="2"/>
      <x:c r="I11" s="12" t="str">
        <x:v>https://www.itmedia.co.jp/business/spv/2509/05/news023.html</x:v>
      </x:c>
    </x:row>
    <x:row r="12" ht="48" customHeight="1">
      <x:c r="A12" s="13" t="n">
        <x:f>COUNTIFS($D$8:$D$57,"&gt;"&amp;D12)+1</x:f>
        <x:v>5</x:v>
      </x:c>
      <x:c r="B12" s="8" t="str">
        <x:v>常総</x:v>
      </x:c>
      <x:c r="C12" s="8" t="str">
        <x:v>茨城県</x:v>
      </x:c>
      <x:c r="D12" s="10" t="n">
        <x:v>300</x:v>
      </x:c>
      <x:c r="E12" s="13" t="str">
        <x:v>約</x:v>
      </x:c>
      <x:c r="F12" s="8" t="str">
        <x:v>開業2年目（2024〜2025年）</x:v>
      </x:c>
      <x:c r="G12" s="8" t="str">
        <x:v>施設全体</x:v>
      </x:c>
      <x:c r="H12" s="2"/>
      <x:c r="I12" s="12" t="str">
        <x:v>https://www.mof.go.jp/public_relations/finance/denshi/202509/pageindices/index84.html</x:v>
      </x:c>
    </x:row>
    <x:row r="13" ht="48" customHeight="1">
      <x:c r="A13" s="14" t="n">
        <x:f>COUNTIFS($D$8:$D$57,"&gt;"&amp;D13)+1</x:f>
        <x:v>6</x:v>
      </x:c>
      <x:c r="B13" s="15" t="str">
        <x:v>川場田園プラザ</x:v>
      </x:c>
      <x:c r="C13" s="15" t="str">
        <x:v>群馬県</x:v>
      </x:c>
      <x:c r="D13" s="16" t="n">
        <x:v>290</x:v>
      </x:c>
      <x:c r="E13" s="14" t="str">
        <x:v>約</x:v>
      </x:c>
      <x:c r="F13" s="15" t="str">
        <x:v>2024年度</x:v>
      </x:c>
      <x:c r="G13" s="15" t="str">
        <x:v>施設全体・取材記事</x:v>
      </x:c>
      <x:c r="H13" s="2"/>
      <x:c r="I13" s="12" t="str">
        <x:v>https://enekei.jp/mmc/mailmagavol255-1.html</x:v>
      </x:c>
    </x:row>
    <x:row r="14" ht="48" customHeight="1">
      <x:c r="A14" s="13" t="n">
        <x:f>COUNTIFS($D$8:$D$57,"&gt;"&amp;D14)+1</x:f>
        <x:v>7</x:v>
      </x:c>
      <x:c r="B14" s="8" t="str">
        <x:v>あらい</x:v>
      </x:c>
      <x:c r="C14" s="8" t="str">
        <x:v>新潟県</x:v>
      </x:c>
      <x:c r="D14" s="10" t="n">
        <x:v>285.571</x:v>
      </x:c>
      <x:c r="E14" s="13" t="str"/>
      <x:c r="F14" s="8" t="str">
        <x:v>2024年</x:v>
      </x:c>
      <x:c r="G14" s="8" t="str">
        <x:v>県観光統計の観光地点入込客数（延べ人数）</x:v>
      </x:c>
      <x:c r="H14" s="2"/>
      <x:c r="I14" s="12" t="str">
        <x:v>https://www.pref.niigata.lg.jp/uploaded/attachment/494807.pdf</x:v>
      </x:c>
    </x:row>
    <x:row r="15" ht="48" customHeight="1">
      <x:c r="A15" s="14" t="n">
        <x:f>COUNTIFS($D$8:$D$57,"&gt;"&amp;D15)+1</x:f>
        <x:v>8</x:v>
      </x:c>
      <x:c r="B15" s="15" t="str">
        <x:v>とよはし</x:v>
      </x:c>
      <x:c r="C15" s="15" t="str">
        <x:v>愛知県</x:v>
      </x:c>
      <x:c r="D15" s="16" t="n">
        <x:v>220</x:v>
      </x:c>
      <x:c r="E15" s="14" t="str">
        <x:v>超</x:v>
      </x:c>
      <x:c r="F15" s="15" t="str">
        <x:v>年度不明（2025年4月取材）</x:v>
      </x:c>
      <x:c r="G15" s="15" t="str">
        <x:v>年間来場者数・運営者取材</x:v>
      </x:c>
      <x:c r="H15" s="2"/>
      <x:c r="I15" s="12" t="str">
        <x:v>https://shigoto100.com/2025/04/michi-no-eki-toyohashi01.html</x:v>
      </x:c>
    </x:row>
    <x:row r="16" ht="48" customHeight="1">
      <x:c r="A16" s="13" t="n">
        <x:f>COUNTIFS($D$8:$D$57,"&gt;"&amp;D16)+1</x:f>
        <x:v>8</x:v>
      </x:c>
      <x:c r="B16" s="8" t="str">
        <x:v>しもつけ</x:v>
      </x:c>
      <x:c r="C16" s="8" t="str">
        <x:v>栃木県</x:v>
      </x:c>
      <x:c r="D16" s="10" t="n">
        <x:v>220</x:v>
      </x:c>
      <x:c r="E16" s="13" t="str">
        <x:v>約</x:v>
      </x:c>
      <x:c r="F16" s="8" t="str">
        <x:v>年度不明（経営発達支援計画）</x:v>
      </x:c>
      <x:c r="G16" s="8" t="str">
        <x:v>年間来訪者・市と商工会の計画掲載</x:v>
      </x:c>
      <x:c r="H16" s="2"/>
      <x:c r="I16" s="12" t="str">
        <x:v>https://www.chusho.meti.go.jp/keiei/shokibo/ninteikeikaku/download/09-10.pdf</x:v>
      </x:c>
    </x:row>
    <x:row r="17" ht="48" customHeight="1">
      <x:c r="A17" s="14" t="n">
        <x:f>COUNTIFS($D$8:$D$57,"&gt;"&amp;D17)+1</x:f>
        <x:v>10</x:v>
      </x:c>
      <x:c r="B17" s="15" t="str">
        <x:v>ふじおか（ららん藤岡）</x:v>
      </x:c>
      <x:c r="C17" s="15" t="str">
        <x:v>群馬県</x:v>
      </x:c>
      <x:c r="D17" s="16" t="n">
        <x:v>215</x:v>
      </x:c>
      <x:c r="E17" s="14" t="str">
        <x:v>約</x:v>
      </x:c>
      <x:c r="F17" s="15" t="str">
        <x:v>年度不明（採用情報掲載値）</x:v>
      </x:c>
      <x:c r="G17" s="15" t="str">
        <x:v>施設全体</x:v>
      </x:c>
      <x:c r="H17" s="2"/>
      <x:c r="I17" s="12" t="str">
        <x:v>https://job.mynavi.jp/27/pc/search/corp242375/outline.html</x:v>
      </x:c>
    </x:row>
    <x:row r="18" ht="48" customHeight="1">
      <x:c r="A18" s="13" t="n">
        <x:f>COUNTIFS($D$8:$D$57,"&gt;"&amp;D18)+1</x:f>
        <x:v>11</x:v>
      </x:c>
      <x:c r="B18" s="8" t="str">
        <x:v>伊東マリンタウン</x:v>
      </x:c>
      <x:c r="C18" s="8" t="str">
        <x:v>静岡県</x:v>
      </x:c>
      <x:c r="D18" s="10" t="n">
        <x:v>210</x:v>
      </x:c>
      <x:c r="E18" s="13" t="str">
        <x:v>約</x:v>
      </x:c>
      <x:c r="F18" s="8" t="str">
        <x:v>2024年度</x:v>
      </x:c>
      <x:c r="G18" s="8" t="str">
        <x:v>県観光統計の交流客数（延べ人数）</x:v>
      </x:c>
      <x:c r="H18" s="2"/>
      <x:c r="I18" s="12" t="str">
        <x:v>https://www.pref.shizuoka.jp/_res/projects/default_project/_page_/001/050/979/r6.pdf</x:v>
      </x:c>
    </x:row>
    <x:row r="19" ht="48" customHeight="1">
      <x:c r="A19" s="14" t="n">
        <x:f>COUNTIFS($D$8:$D$57,"&gt;"&amp;D19)+1</x:f>
        <x:v>12</x:v>
      </x:c>
      <x:c r="B19" s="15" t="str">
        <x:v>どまんなかたぬま</x:v>
      </x:c>
      <x:c r="C19" s="15" t="str">
        <x:v>栃木県</x:v>
      </x:c>
      <x:c r="D19" s="16" t="n">
        <x:v>200</x:v>
      </x:c>
      <x:c r="E19" s="14" t="str">
        <x:v>約</x:v>
      </x:c>
      <x:c r="F19" s="15" t="str">
        <x:v>年度不明（2026年1月時点）</x:v>
      </x:c>
      <x:c r="G19" s="15" t="str">
        <x:v>年間来場者・社長取材</x:v>
      </x:c>
      <x:c r="H19" s="2"/>
      <x:c r="I19" s="12" t="str">
        <x:v>https://shachomeikan.jp/industry_article/5350</x:v>
      </x:c>
    </x:row>
    <x:row r="20" ht="48" customHeight="1">
      <x:c r="A20" s="13" t="n">
        <x:f>COUNTIFS($D$8:$D$57,"&gt;"&amp;D20)+1</x:f>
        <x:v>13</x:v>
      </x:c>
      <x:c r="B20" s="8" t="str">
        <x:v>伊豆ゲートウェイ函南</x:v>
      </x:c>
      <x:c r="C20" s="8" t="str">
        <x:v>静岡県</x:v>
      </x:c>
      <x:c r="D20" s="10" t="n">
        <x:v>197</x:v>
      </x:c>
      <x:c r="E20" s="13" t="str">
        <x:v>約</x:v>
      </x:c>
      <x:c r="F20" s="8" t="str">
        <x:v>2024年度</x:v>
      </x:c>
      <x:c r="G20" s="8" t="str">
        <x:v>県観光統計の交流客数（延べ人数）</x:v>
      </x:c>
      <x:c r="H20" s="2"/>
      <x:c r="I20" s="12" t="str">
        <x:v>https://www.pref.shizuoka.jp/_res/projects/default_project/_page_/001/050/979/r6.pdf</x:v>
      </x:c>
    </x:row>
    <x:row r="21" ht="48" customHeight="1">
      <x:c r="A21" s="14" t="n">
        <x:f>COUNTIFS($D$8:$D$57,"&gt;"&amp;D21)+1</x:f>
        <x:v>14</x:v>
      </x:c>
      <x:c r="B21" s="15" t="str">
        <x:v>朝日</x:v>
      </x:c>
      <x:c r="C21" s="15" t="str">
        <x:v>新潟県</x:v>
      </x:c>
      <x:c r="D21" s="16" t="n">
        <x:v>177</x:v>
      </x:c>
      <x:c r="E21" s="14" t="str">
        <x:v>約</x:v>
      </x:c>
      <x:c r="F21" s="15" t="str">
        <x:v>2023年度</x:v>
      </x:c>
      <x:c r="G21" s="15" t="str">
        <x:v>リニューアル事業公表値・複合施設全体</x:v>
      </x:c>
      <x:c r="H21" s="2"/>
      <x:c r="I21" s="12" t="str">
        <x:v>https://kifuru.jp/projects/1472/</x:v>
      </x:c>
    </x:row>
    <x:row r="22" ht="48" customHeight="1">
      <x:c r="A22" s="13" t="n">
        <x:f>COUNTIFS($D$8:$D$57,"&gt;"&amp;D22)+1</x:f>
        <x:v>15</x:v>
      </x:c>
      <x:c r="B22" s="8" t="str">
        <x:v>むなかた</x:v>
      </x:c>
      <x:c r="C22" s="8" t="str">
        <x:v>福岡県</x:v>
      </x:c>
      <x:c r="D22" s="10" t="n">
        <x:v>175.2</x:v>
      </x:c>
      <x:c r="E22" s="13" t="str"/>
      <x:c r="F22" s="8" t="str">
        <x:v>2023年度</x:v>
      </x:c>
      <x:c r="G22" s="8" t="str">
        <x:v>レジ通過者×曜日別係数＋テナント利用者</x:v>
      </x:c>
      <x:c r="H22" s="2"/>
      <x:c r="I22" s="12" t="str">
        <x:v>https://www.city.munakata.lg.jp/kiji0038949/3_8949_7324_up_7ttxyjr5.pdf</x:v>
      </x:c>
    </x:row>
    <x:row r="23" ht="48" customHeight="1">
      <x:c r="A23" s="14" t="n">
        <x:f>COUNTIFS($D$8:$D$57,"&gt;"&amp;D23)+1</x:f>
        <x:v>16</x:v>
      </x:c>
      <x:c r="B23" s="15" t="str">
        <x:v>ふくしま</x:v>
      </x:c>
      <x:c r="C23" s="15" t="str">
        <x:v>福島県</x:v>
      </x:c>
      <x:c r="D23" s="16" t="n">
        <x:v>168</x:v>
      </x:c>
      <x:c r="E23" s="14" t="str"/>
      <x:c r="F23" s="15" t="str">
        <x:v>2024年度</x:v>
      </x:c>
      <x:c r="G23" s="15" t="str">
        <x:v>市公表の年度実績</x:v>
      </x:c>
      <x:c r="H23" s="2"/>
      <x:c r="I23" s="12" t="str">
        <x:v>https://www.city.fukushima.fukushima.jp/material/files/group/1/2025100804.pdf</x:v>
      </x:c>
    </x:row>
    <x:row r="24" ht="48" customHeight="1">
      <x:c r="A24" s="13" t="n">
        <x:f>COUNTIFS($D$8:$D$57,"&gt;"&amp;D24)+1</x:f>
        <x:v>17</x:v>
      </x:c>
      <x:c r="B24" s="8" t="str">
        <x:v>伊達の郷りょうぜん</x:v>
      </x:c>
      <x:c r="C24" s="8" t="str">
        <x:v>福島県</x:v>
      </x:c>
      <x:c r="D24" s="10" t="n">
        <x:v>161.803</x:v>
      </x:c>
      <x:c r="E24" s="13" t="str"/>
      <x:c r="F24" s="8" t="str">
        <x:v>2024年</x:v>
      </x:c>
      <x:c r="G24" s="8" t="str">
        <x:v>県観光統計の観光地点入込客数（延べ人数）</x:v>
      </x:c>
      <x:c r="H24" s="2"/>
      <x:c r="I24" s="12" t="str">
        <x:v>https://www.pref.fukushima.lg.jp/uploaded/attachment/708089.pdf</x:v>
      </x:c>
    </x:row>
    <x:row r="25" ht="48" customHeight="1">
      <x:c r="A25" s="14" t="n">
        <x:f>COUNTIFS($D$8:$D$57,"&gt;"&amp;D25)+1</x:f>
        <x:v>18</x:v>
      </x:c>
      <x:c r="B25" s="15" t="str">
        <x:v>やいた</x:v>
      </x:c>
      <x:c r="C25" s="15" t="str">
        <x:v>栃木県</x:v>
      </x:c>
      <x:c r="D25" s="16" t="n">
        <x:v>160</x:v>
      </x:c>
      <x:c r="E25" s="14" t="str">
        <x:v>超</x:v>
      </x:c>
      <x:c r="F25" s="15" t="str">
        <x:v>2024年度</x:v>
      </x:c>
      <x:c r="G25" s="15" t="str">
        <x:v>来場者</x:v>
      </x:c>
      <x:c r="H25" s="2"/>
      <x:c r="I25" s="12" t="str">
        <x:v>https://www.city.yaita.tochigi.jp/uploaded/attachment/24098.pdf</x:v>
      </x:c>
    </x:row>
    <x:row r="26" ht="48" customHeight="1">
      <x:c r="A26" s="13" t="n">
        <x:f>COUNTIFS($D$8:$D$57,"&gt;"&amp;D26)+1</x:f>
        <x:v>19</x:v>
      </x:c>
      <x:c r="B26" s="8" t="str">
        <x:v>国見あつかしの郷</x:v>
      </x:c>
      <x:c r="C26" s="8" t="str">
        <x:v>福島県</x:v>
      </x:c>
      <x:c r="D26" s="10" t="n">
        <x:v>155.8</x:v>
      </x:c>
      <x:c r="E26" s="13" t="str"/>
      <x:c r="F26" s="8" t="str">
        <x:v>2024年</x:v>
      </x:c>
      <x:c r="G26" s="8" t="str">
        <x:v>県観光統計の観光地点入込客数（延べ人数）</x:v>
      </x:c>
      <x:c r="H26" s="2"/>
      <x:c r="I26" s="12" t="str">
        <x:v>https://www.pref.fukushima.lg.jp/uploaded/attachment/708089.pdf</x:v>
      </x:c>
    </x:row>
    <x:row r="27" ht="48" customHeight="1">
      <x:c r="A27" s="14" t="n">
        <x:f>COUNTIFS($D$8:$D$57,"&gt;"&amp;D27)+1</x:f>
        <x:v>20</x:v>
      </x:c>
      <x:c r="B27" s="15" t="str">
        <x:v>木更津うまくたの里</x:v>
      </x:c>
      <x:c r="C27" s="15" t="str">
        <x:v>千葉県</x:v>
      </x:c>
      <x:c r="D27" s="16" t="n">
        <x:v>154.1</x:v>
      </x:c>
      <x:c r="E27" s="14" t="str"/>
      <x:c r="F27" s="15" t="str">
        <x:v>2024年・年度区分要確認</x:v>
      </x:c>
      <x:c r="G27" s="15" t="str">
        <x:v>来訪者・農水省掲載資料</x:v>
      </x:c>
      <x:c r="H27" s="2"/>
      <x:c r="I27" s="12" t="str">
        <x:v>https://www.maff.go.jp/j/nousin/tiiki/sesaku/attach/pdf/renais_tyusan-63.pdf</x:v>
      </x:c>
    </x:row>
    <x:row r="28" ht="48" customHeight="1">
      <x:c r="A28" s="13" t="n">
        <x:f>COUNTIFS($D$8:$D$57,"&gt;"&amp;D28)+1</x:f>
        <x:v>21</x:v>
      </x:c>
      <x:c r="B28" s="8" t="str">
        <x:v>あいづ 湯川・会津坂下</x:v>
      </x:c>
      <x:c r="C28" s="8" t="str">
        <x:v>福島県</x:v>
      </x:c>
      <x:c r="D28" s="10" t="n">
        <x:v>138.1341</x:v>
      </x:c>
      <x:c r="E28" s="13" t="str"/>
      <x:c r="F28" s="8" t="str">
        <x:v>2024年</x:v>
      </x:c>
      <x:c r="G28" s="8" t="str">
        <x:v>県観光統計の観光地点入込客数（延べ人数）</x:v>
      </x:c>
      <x:c r="H28" s="2"/>
      <x:c r="I28" s="12" t="str">
        <x:v>https://www.pref.fukushima.lg.jp/uploaded/attachment/708089.pdf</x:v>
      </x:c>
    </x:row>
    <x:row r="29" ht="48" customHeight="1">
      <x:c r="A29" s="14" t="n">
        <x:f>COUNTIFS($D$8:$D$57,"&gt;"&amp;D29)+1</x:f>
        <x:v>22</x:v>
      </x:c>
      <x:c r="B29" s="15" t="str">
        <x:v>安達</x:v>
      </x:c>
      <x:c r="C29" s="15" t="str">
        <x:v>福島県</x:v>
      </x:c>
      <x:c r="D29" s="16" t="n">
        <x:v>136.5704</x:v>
      </x:c>
      <x:c r="E29" s="14" t="str"/>
      <x:c r="F29" s="15" t="str">
        <x:v>2024年</x:v>
      </x:c>
      <x:c r="G29" s="15" t="str">
        <x:v>上り616,154人＋下り749,550人を合算。重複利用あり</x:v>
      </x:c>
      <x:c r="H29" s="2"/>
      <x:c r="I29" s="12" t="str">
        <x:v>https://www.pref.fukushima.lg.jp/uploaded/attachment/708089.pdf</x:v>
      </x:c>
    </x:row>
    <x:row r="30" ht="48" customHeight="1">
      <x:c r="A30" s="13" t="n">
        <x:f>COUNTIFS($D$8:$D$57,"&gt;"&amp;D30)+1</x:f>
        <x:v>23</x:v>
      </x:c>
      <x:c r="B30" s="8" t="str">
        <x:v>おとふけ</x:v>
      </x:c>
      <x:c r="C30" s="8" t="str">
        <x:v>北海道</x:v>
      </x:c>
      <x:c r="D30" s="10" t="n">
        <x:v>130.3973</x:v>
      </x:c>
      <x:c r="E30" s="13" t="str"/>
      <x:c r="F30" s="8" t="str">
        <x:v>2024年度</x:v>
      </x:c>
      <x:c r="G30" s="8" t="str">
        <x:v>年間来場者数・道公表の町取組事例</x:v>
      </x:c>
      <x:c r="H30" s="2"/>
      <x:c r="I30" s="12" t="str">
        <x:v>https://www.pref.hokkaido.lg.jp/fs/1/2/1/2/7/3/5/0/_/16音更町_道の駅おとふけ及び道の駅ガーデンスパ十勝川温泉の設置運営.pdf</x:v>
      </x:c>
    </x:row>
    <x:row r="31" ht="48" customHeight="1">
      <x:c r="A31" s="14" t="n">
        <x:f>COUNTIFS($D$8:$D$57,"&gt;"&amp;D31)+1</x:f>
        <x:v>24</x:v>
      </x:c>
      <x:c r="B31" s="15" t="str">
        <x:v>季楽里あさひ</x:v>
      </x:c>
      <x:c r="C31" s="15" t="str">
        <x:v>千葉県</x:v>
      </x:c>
      <x:c r="D31" s="16" t="n">
        <x:v>130</x:v>
      </x:c>
      <x:c r="E31" s="14" t="str">
        <x:v>約</x:v>
      </x:c>
      <x:c r="F31" s="15" t="str">
        <x:v>2024年度</x:v>
      </x:c>
      <x:c r="G31" s="15" t="str">
        <x:v>施設全体</x:v>
      </x:c>
      <x:c r="H31" s="2"/>
      <x:c r="I31" s="12" t="str">
        <x:v>https://www.city.asahi.lg.jp/uploaded/attachment/31956.pdf</x:v>
      </x:c>
    </x:row>
    <x:row r="32" ht="48" customHeight="1">
      <x:c r="A32" s="13" t="n">
        <x:f>COUNTIFS($D$8:$D$57,"&gt;"&amp;D32)+1</x:f>
        <x:v>25</x:v>
      </x:c>
      <x:c r="B32" s="8" t="str">
        <x:v>水の郷さわら</x:v>
      </x:c>
      <x:c r="C32" s="8" t="str">
        <x:v>千葉県</x:v>
      </x:c>
      <x:c r="D32" s="10" t="n">
        <x:v>120</x:v>
      </x:c>
      <x:c r="E32" s="13" t="str">
        <x:v>以上</x:v>
      </x:c>
      <x:c r="F32" s="8" t="str">
        <x:v>年度不明（2025年1月公表）</x:v>
      </x:c>
      <x:c r="G32" s="8" t="str">
        <x:v>道の駅・川の駅の広域交流拠点全体</x:v>
      </x:c>
      <x:c r="H32" s="2"/>
      <x:c r="I32" s="12" t="str">
        <x:v>https://www.nid.co.jp/info_news/20250116/</x:v>
      </x:c>
    </x:row>
    <x:row r="33" ht="48" customHeight="1">
      <x:c r="A33" s="14" t="n">
        <x:f>COUNTIFS($D$8:$D$57,"&gt;"&amp;D33)+1</x:f>
        <x:v>26</x:v>
      </x:c>
      <x:c r="B33" s="15" t="str">
        <x:v>北欧の風 道の駅とうべつ</x:v>
      </x:c>
      <x:c r="C33" s="15" t="str">
        <x:v>北海道</x:v>
      </x:c>
      <x:c r="D33" s="16" t="n">
        <x:v>116.7</x:v>
      </x:c>
      <x:c r="E33" s="14" t="str">
        <x:v>約</x:v>
      </x:c>
      <x:c r="F33" s="15" t="str">
        <x:v>2024年度</x:v>
      </x:c>
      <x:c r="G33" s="15" t="str">
        <x:v>入場者数</x:v>
      </x:c>
      <x:c r="H33" s="2"/>
      <x:c r="I33" s="12" t="str">
        <x:v>https://www.sato-tatsu.com/post/tobetsu-gikai-202509</x:v>
      </x:c>
    </x:row>
    <x:row r="34" ht="48" customHeight="1">
      <x:c r="A34" s="13" t="n">
        <x:f>COUNTIFS($D$8:$D$57,"&gt;"&amp;D34)+1</x:f>
        <x:v>27</x:v>
      </x:c>
      <x:c r="B34" s="8" t="str">
        <x:v>ふたつい</x:v>
      </x:c>
      <x:c r="C34" s="8" t="str">
        <x:v>秋田県</x:v>
      </x:c>
      <x:c r="D34" s="10" t="n">
        <x:v>116.6485</x:v>
      </x:c>
      <x:c r="E34" s="13" t="str"/>
      <x:c r="F34" s="8" t="str">
        <x:v>2024年度</x:v>
      </x:c>
      <x:c r="G34" s="8" t="str">
        <x:v>市公表・利用者数</x:v>
      </x:c>
      <x:c r="H34" s="2"/>
      <x:c r="I34" s="12" t="str">
        <x:v>https://www.city.noshiro.lg.jp/up/files/www/city/yosan-kessan/kessan/shisaku-seika/shuyounasesakuR6.pdf</x:v>
      </x:c>
    </x:row>
    <x:row r="35" ht="48" customHeight="1">
      <x:c r="A35" s="14" t="n">
        <x:f>COUNTIFS($D$8:$D$57,"&gt;"&amp;D35)+1</x:f>
        <x:v>28</x:v>
      </x:c>
      <x:c r="B35" s="15" t="str">
        <x:v>猪苗代</x:v>
      </x:c>
      <x:c r="C35" s="15" t="str">
        <x:v>福島県</x:v>
      </x:c>
      <x:c r="D35" s="16" t="n">
        <x:v>114.5795</x:v>
      </x:c>
      <x:c r="E35" s="14" t="str"/>
      <x:c r="F35" s="15" t="str">
        <x:v>2024年</x:v>
      </x:c>
      <x:c r="G35" s="15" t="str">
        <x:v>県観光統計の観光地点入込客数（延べ人数）</x:v>
      </x:c>
      <x:c r="H35" s="2"/>
      <x:c r="I35" s="12" t="str">
        <x:v>https://www.pref.fukushima.lg.jp/uploaded/attachment/708089.pdf</x:v>
      </x:c>
    </x:row>
    <x:row r="36" ht="48" customHeight="1">
      <x:c r="A36" s="13" t="n">
        <x:f>COUNTIFS($D$8:$D$57,"&gt;"&amp;D36)+1</x:f>
        <x:v>29</x:v>
      </x:c>
      <x:c r="B36" s="8" t="str">
        <x:v>パティオにいがた</x:v>
      </x:c>
      <x:c r="C36" s="8" t="str">
        <x:v>新潟県</x:v>
      </x:c>
      <x:c r="D36" s="10" t="n">
        <x:v>112.527</x:v>
      </x:c>
      <x:c r="E36" s="13" t="str"/>
      <x:c r="F36" s="8" t="str">
        <x:v>2024年</x:v>
      </x:c>
      <x:c r="G36" s="8" t="str">
        <x:v>県観光統計の観光地点入込客数（延べ人数）</x:v>
      </x:c>
      <x:c r="H36" s="2"/>
      <x:c r="I36" s="12" t="str">
        <x:v>https://www.pref.niigata.lg.jp/uploaded/attachment/494807.pdf</x:v>
      </x:c>
    </x:row>
    <x:row r="37" ht="48" customHeight="1">
      <x:c r="A37" s="14" t="n">
        <x:f>COUNTIFS($D$8:$D$57,"&gt;"&amp;D37)+1</x:f>
        <x:v>30</x:v>
      </x:c>
      <x:c r="B37" s="15" t="str">
        <x:v>ながおか花火館</x:v>
      </x:c>
      <x:c r="C37" s="15" t="str">
        <x:v>新潟県</x:v>
      </x:c>
      <x:c r="D37" s="16" t="n">
        <x:v>108.9586</x:v>
      </x:c>
      <x:c r="E37" s="14" t="str"/>
      <x:c r="F37" s="15" t="str">
        <x:v>2024年</x:v>
      </x:c>
      <x:c r="G37" s="15" t="str">
        <x:v>県観光統計の観光地点入込客数（延べ人数）</x:v>
      </x:c>
      <x:c r="H37" s="2"/>
      <x:c r="I37" s="12" t="str">
        <x:v>https://www.pref.niigata.lg.jp/uploaded/attachment/494807.pdf</x:v>
      </x:c>
    </x:row>
    <x:row r="38" ht="48" customHeight="1">
      <x:c r="A38" s="13" t="n">
        <x:f>COUNTIFS($D$8:$D$57,"&gt;"&amp;D38)+1</x:f>
        <x:v>31</x:v>
      </x:c>
      <x:c r="B38" s="8" t="str">
        <x:v>保田小学校</x:v>
      </x:c>
      <x:c r="C38" s="8" t="str">
        <x:v>千葉県</x:v>
      </x:c>
      <x:c r="D38" s="10" t="n">
        <x:v>90.5</x:v>
      </x:c>
      <x:c r="E38" s="13" t="str"/>
      <x:c r="F38" s="8" t="str">
        <x:v>2024年・年度区分要確認</x:v>
      </x:c>
      <x:c r="G38" s="8" t="str">
        <x:v>来訪者・農水省掲載資料</x:v>
      </x:c>
      <x:c r="H38" s="2"/>
      <x:c r="I38" s="12" t="str">
        <x:v>https://www.maff.go.jp/j/nousin/tiiki/sesaku/attach/pdf/renais_tyusan-63.pdf</x:v>
      </x:c>
    </x:row>
    <x:row r="39" ht="48" customHeight="1">
      <x:c r="A39" s="14" t="n">
        <x:f>COUNTIFS($D$8:$D$57,"&gt;"&amp;D39)+1</x:f>
        <x:v>32</x:v>
      </x:c>
      <x:c r="B39" s="15" t="str">
        <x:v>ばんだい</x:v>
      </x:c>
      <x:c r="C39" s="15" t="str">
        <x:v>福島県</x:v>
      </x:c>
      <x:c r="D39" s="16" t="n">
        <x:v>88.4534</x:v>
      </x:c>
      <x:c r="E39" s="14" t="str"/>
      <x:c r="F39" s="15" t="str">
        <x:v>2024年</x:v>
      </x:c>
      <x:c r="G39" s="15" t="str">
        <x:v>県観光統計の観光地点入込客数（延べ人数）</x:v>
      </x:c>
      <x:c r="H39" s="2"/>
      <x:c r="I39" s="12" t="str">
        <x:v>https://www.pref.fukushima.lg.jp/uploaded/attachment/708089.pdf</x:v>
      </x:c>
    </x:row>
    <x:row r="40" ht="48" customHeight="1">
      <x:c r="A40" s="13" t="n">
        <x:f>COUNTIFS($D$8:$D$57,"&gt;"&amp;D40)+1</x:f>
        <x:v>33</x:v>
      </x:c>
      <x:c r="B40" s="8" t="str">
        <x:v>八王子滝山</x:v>
      </x:c>
      <x:c r="C40" s="8" t="str">
        <x:v>東京都</x:v>
      </x:c>
      <x:c r="D40" s="10" t="n">
        <x:v>86.3086</x:v>
      </x:c>
      <x:c r="E40" s="13" t="str"/>
      <x:c r="F40" s="8" t="str">
        <x:v>2024年度</x:v>
      </x:c>
      <x:c r="G40" s="8" t="str">
        <x:v>事業実績・学術誌掲載</x:v>
      </x:c>
      <x:c r="H40" s="2"/>
      <x:c r="I40" s="12" t="str">
        <x:v>https://www.jstage.jst.go.jp/article/jahes/42/1/42_87/_html/-char/en</x:v>
      </x:c>
    </x:row>
    <x:row r="41" ht="48" customHeight="1">
      <x:c r="A41" s="14" t="n">
        <x:f>COUNTIFS($D$8:$D$57,"&gt;"&amp;D41)+1</x:f>
        <x:v>34</x:v>
      </x:c>
      <x:c r="B41" s="15" t="str">
        <x:v>妹子の郷</x:v>
      </x:c>
      <x:c r="C41" s="15" t="str">
        <x:v>滋賀県</x:v>
      </x:c>
      <x:c r="D41" s="16" t="n">
        <x:v>80.6</x:v>
      </x:c>
      <x:c r="E41" s="14" t="str"/>
      <x:c r="F41" s="15" t="str">
        <x:v>2024年度</x:v>
      </x:c>
      <x:c r="G41" s="15" t="str">
        <x:v>指定管理実績の利用者数</x:v>
      </x:c>
      <x:c r="H41" s="2"/>
      <x:c r="I41" s="12" t="str">
        <x:v>https://www.city.otsu.lg.jp/material/files/group/115/19r6imoko.pdf</x:v>
      </x:c>
    </x:row>
    <x:row r="42" ht="48" customHeight="1">
      <x:c r="A42" s="13" t="n">
        <x:f>COUNTIFS($D$8:$D$57,"&gt;"&amp;D42)+1</x:f>
        <x:v>35</x:v>
      </x:c>
      <x:c r="B42" s="8" t="str">
        <x:v>朝霧高原</x:v>
      </x:c>
      <x:c r="C42" s="8" t="str">
        <x:v>静岡県</x:v>
      </x:c>
      <x:c r="D42" s="10" t="n">
        <x:v>78</x:v>
      </x:c>
      <x:c r="E42" s="13" t="str">
        <x:v>約</x:v>
      </x:c>
      <x:c r="F42" s="8" t="str">
        <x:v>2024年度</x:v>
      </x:c>
      <x:c r="G42" s="8" t="str">
        <x:v>県観光統計の交流客数（延べ人数）</x:v>
      </x:c>
      <x:c r="H42" s="2"/>
      <x:c r="I42" s="12" t="str">
        <x:v>https://www.pref.shizuoka.jp/_res/projects/default_project/_page_/001/050/979/r6.pdf</x:v>
      </x:c>
    </x:row>
    <x:row r="43" ht="48" customHeight="1">
      <x:c r="A43" s="14" t="n">
        <x:f>COUNTIFS($D$8:$D$57,"&gt;"&amp;D43)+1</x:f>
        <x:v>36</x:v>
      </x:c>
      <x:c r="B43" s="15" t="str">
        <x:v>しろいし</x:v>
      </x:c>
      <x:c r="C43" s="15" t="str">
        <x:v>佐賀県</x:v>
      </x:c>
      <x:c r="D43" s="16" t="n">
        <x:v>77.8</x:v>
      </x:c>
      <x:c r="E43" s="14" t="str"/>
      <x:c r="F43" s="15" t="str">
        <x:v>2024年度</x:v>
      </x:c>
      <x:c r="G43" s="15" t="str">
        <x:v>町総合計画の実績</x:v>
      </x:c>
      <x:c r="H43" s="2"/>
      <x:c r="I43" s="12" t="str">
        <x:v>https://www.town.shiroishi.lg.jp/var/rev0/0033/9007/12582617352.pdf</x:v>
      </x:c>
    </x:row>
    <x:row r="44" ht="48" customHeight="1">
      <x:c r="A44" s="13" t="n">
        <x:f>COUNTIFS($D$8:$D$57,"&gt;"&amp;D44)+1</x:f>
        <x:v>37</x:v>
      </x:c>
      <x:c r="B44" s="8" t="str">
        <x:v>ソレーネ周南</x:v>
      </x:c>
      <x:c r="C44" s="8" t="str">
        <x:v>山口県</x:v>
      </x:c>
      <x:c r="D44" s="10" t="n">
        <x:v>70</x:v>
      </x:c>
      <x:c r="E44" s="13" t="str">
        <x:v>約</x:v>
      </x:c>
      <x:c r="F44" s="8" t="str">
        <x:v>2023年度</x:v>
      </x:c>
      <x:c r="G44" s="8" t="str">
        <x:v>来場者・報道値</x:v>
      </x:c>
      <x:c r="H44" s="2"/>
      <x:c r="I44" s="12" t="str">
        <x:v>https://www.shinshunan.co.jp/news/politics/shunan/202508/042884.html</x:v>
      </x:c>
    </x:row>
    <x:row r="45" ht="48" customHeight="1">
      <x:c r="A45" s="14" t="n">
        <x:f>COUNTIFS($D$8:$D$57,"&gt;"&amp;D45)+1</x:f>
        <x:v>38</x:v>
      </x:c>
      <x:c r="B45" s="15" t="str">
        <x:v>お茶の京都みなみやましろ村</x:v>
      </x:c>
      <x:c r="C45" s="15" t="str">
        <x:v>京都府</x:v>
      </x:c>
      <x:c r="D45" s="16" t="n">
        <x:v>62</x:v>
      </x:c>
      <x:c r="E45" s="14" t="str">
        <x:v>約</x:v>
      </x:c>
      <x:c r="F45" s="15" t="str">
        <x:v>年度不明（2025年度視察資料）</x:v>
      </x:c>
      <x:c r="G45" s="15" t="str">
        <x:v>年間来場者</x:v>
      </x:c>
      <x:c r="H45" s="2"/>
      <x:c r="I45" s="12" t="str">
        <x:v>https://www.city.kanonji.kagawa.jp/uploaded/attachment/41586.pdf</x:v>
      </x:c>
    </x:row>
    <x:row r="46" ht="48" customHeight="1">
      <x:c r="A46" s="13" t="n">
        <x:f>COUNTIFS($D$8:$D$57,"&gt;"&amp;D46)+1</x:f>
        <x:v>39</x:v>
      </x:c>
      <x:c r="B46" s="8" t="str">
        <x:v>なみえ</x:v>
      </x:c>
      <x:c r="C46" s="8" t="str">
        <x:v>福島県</x:v>
      </x:c>
      <x:c r="D46" s="10" t="n">
        <x:v>59.8222</x:v>
      </x:c>
      <x:c r="E46" s="13" t="str"/>
      <x:c r="F46" s="8" t="str">
        <x:v>2024年</x:v>
      </x:c>
      <x:c r="G46" s="8" t="str">
        <x:v>県観光統計の観光地点入込客数（延べ人数）</x:v>
      </x:c>
      <x:c r="H46" s="2"/>
      <x:c r="I46" s="12" t="str">
        <x:v>https://www.pref.fukushima.lg.jp/uploaded/attachment/708089.pdf</x:v>
      </x:c>
    </x:row>
    <x:row r="47" ht="48" customHeight="1">
      <x:c r="A47" s="14" t="n">
        <x:f>COUNTIFS($D$8:$D$57,"&gt;"&amp;D47)+1</x:f>
        <x:v>40</x:v>
      </x:c>
      <x:c r="B47" s="15" t="str">
        <x:v>あがの</x:v>
      </x:c>
      <x:c r="C47" s="15" t="str">
        <x:v>新潟県</x:v>
      </x:c>
      <x:c r="D47" s="16" t="n">
        <x:v>59.3582</x:v>
      </x:c>
      <x:c r="E47" s="14" t="str"/>
      <x:c r="F47" s="15" t="str">
        <x:v>2024年</x:v>
      </x:c>
      <x:c r="G47" s="15" t="str">
        <x:v>県観光統計の観光地点入込客数（延べ人数）</x:v>
      </x:c>
      <x:c r="H47" s="2"/>
      <x:c r="I47" s="12" t="str">
        <x:v>https://www.pref.niigata.lg.jp/uploaded/attachment/494807.pdf</x:v>
      </x:c>
    </x:row>
    <x:row r="48" ht="48" customHeight="1">
      <x:c r="A48" s="13" t="n">
        <x:f>COUNTIFS($D$8:$D$57,"&gt;"&amp;D48)+1</x:f>
        <x:v>41</x:v>
      </x:c>
      <x:c r="B48" s="8" t="str">
        <x:v>国上</x:v>
      </x:c>
      <x:c r="C48" s="8" t="str">
        <x:v>新潟県</x:v>
      </x:c>
      <x:c r="D48" s="10" t="n">
        <x:v>58.1487</x:v>
      </x:c>
      <x:c r="E48" s="13" t="str"/>
      <x:c r="F48" s="8" t="str">
        <x:v>2024年</x:v>
      </x:c>
      <x:c r="G48" s="8" t="str">
        <x:v>県観光統計の観光地点入込客数（延べ人数）</x:v>
      </x:c>
      <x:c r="H48" s="2"/>
      <x:c r="I48" s="12" t="str">
        <x:v>https://www.pref.niigata.lg.jp/uploaded/attachment/494807.pdf</x:v>
      </x:c>
    </x:row>
    <x:row r="49" ht="48" customHeight="1">
      <x:c r="A49" s="14" t="n">
        <x:f>COUNTIFS($D$8:$D$57,"&gt;"&amp;D49)+1</x:f>
        <x:v>42</x:v>
      </x:c>
      <x:c r="B49" s="15" t="str">
        <x:v>R290とちお</x:v>
      </x:c>
      <x:c r="C49" s="15" t="str">
        <x:v>新潟県</x:v>
      </x:c>
      <x:c r="D49" s="16" t="n">
        <x:v>53.25</x:v>
      </x:c>
      <x:c r="E49" s="14" t="str"/>
      <x:c r="F49" s="15" t="str">
        <x:v>2024年</x:v>
      </x:c>
      <x:c r="G49" s="15" t="str">
        <x:v>県観光統計の観光地点入込客数（延べ人数）</x:v>
      </x:c>
      <x:c r="H49" s="2"/>
      <x:c r="I49" s="12" t="str">
        <x:v>https://www.pref.niigata.lg.jp/uploaded/attachment/494807.pdf</x:v>
      </x:c>
    </x:row>
    <x:row r="50" ht="48" customHeight="1">
      <x:c r="A50" s="13" t="n">
        <x:f>COUNTIFS($D$8:$D$57,"&gt;"&amp;D50)+1</x:f>
        <x:v>43</x:v>
      </x:c>
      <x:c r="B50" s="8" t="str">
        <x:v>南魚沼</x:v>
      </x:c>
      <x:c r="C50" s="8" t="str">
        <x:v>新潟県</x:v>
      </x:c>
      <x:c r="D50" s="10" t="n">
        <x:v>51.688</x:v>
      </x:c>
      <x:c r="E50" s="13" t="str"/>
      <x:c r="F50" s="8" t="str">
        <x:v>2024年</x:v>
      </x:c>
      <x:c r="G50" s="8" t="str">
        <x:v>県観光統計の観光地点入込客数（延べ人数）</x:v>
      </x:c>
      <x:c r="H50" s="2"/>
      <x:c r="I50" s="12" t="str">
        <x:v>https://www.pref.niigata.lg.jp/uploaded/attachment/494807.pdf</x:v>
      </x:c>
    </x:row>
    <x:row r="51" ht="48" customHeight="1">
      <x:c r="A51" s="14" t="n">
        <x:f>COUNTIFS($D$8:$D$57,"&gt;"&amp;D51)+1</x:f>
        <x:v>44</x:v>
      </x:c>
      <x:c r="B51" s="15" t="str">
        <x:v>大和路へぐり</x:v>
      </x:c>
      <x:c r="C51" s="15" t="str">
        <x:v>奈良県</x:v>
      </x:c>
      <x:c r="D51" s="16" t="n">
        <x:v>50</x:v>
      </x:c>
      <x:c r="E51" s="14" t="str">
        <x:v>以上</x:v>
      </x:c>
      <x:c r="F51" s="15" t="str">
        <x:v>2024年度</x:v>
      </x:c>
      <x:c r="G51" s="15" t="str">
        <x:v>年間来訪者</x:v>
      </x:c>
      <x:c r="H51" s="2"/>
      <x:c r="I51" s="12" t="str">
        <x:v>https://michi-no-eki.heguri-apc.jp/2025/10/17/道の駅大和路へぐりのあゆみ/1909/</x:v>
      </x:c>
    </x:row>
    <x:row r="52" ht="48" customHeight="1">
      <x:c r="A52" s="13" t="n">
        <x:f>COUNTIFS($D$8:$D$57,"&gt;"&amp;D52)+1</x:f>
        <x:v>45</x:v>
      </x:c>
      <x:c r="B52" s="8" t="str">
        <x:v>マリンドリーム能生</x:v>
      </x:c>
      <x:c r="C52" s="8" t="str">
        <x:v>新潟県</x:v>
      </x:c>
      <x:c r="D52" s="10" t="n">
        <x:v>45.45</x:v>
      </x:c>
      <x:c r="E52" s="13" t="str"/>
      <x:c r="F52" s="8" t="str">
        <x:v>2024年</x:v>
      </x:c>
      <x:c r="G52" s="8" t="str">
        <x:v>県観光統計の観光地点入込客数（延べ人数）</x:v>
      </x:c>
      <x:c r="H52" s="2"/>
      <x:c r="I52" s="12" t="str">
        <x:v>https://www.pref.niigata.lg.jp/uploaded/attachment/494807.pdf</x:v>
      </x:c>
    </x:row>
    <x:row r="53" ht="48" customHeight="1">
      <x:c r="A53" s="14" t="n">
        <x:f>COUNTIFS($D$8:$D$57,"&gt;"&amp;D53)+1</x:f>
        <x:v>46</x:v>
      </x:c>
      <x:c r="B53" s="15" t="str">
        <x:v>いたの</x:v>
      </x:c>
      <x:c r="C53" s="15" t="str">
        <x:v>徳島県</x:v>
      </x:c>
      <x:c r="D53" s="16" t="n">
        <x:v>45.3</x:v>
      </x:c>
      <x:c r="E53" s="14" t="str"/>
      <x:c r="F53" s="15" t="str">
        <x:v>2023年度</x:v>
      </x:c>
      <x:c r="G53" s="15" t="str">
        <x:v>来場者・町議会答弁（計測方法要確認）</x:v>
      </x:c>
      <x:c r="H53" s="2"/>
      <x:c r="I53" s="12" t="str">
        <x:v>https://www.town.itano.tokushima.jp/docs/2024090200018/files/664.pdf</x:v>
      </x:c>
    </x:row>
    <x:row r="54" ht="48" customHeight="1">
      <x:c r="A54" s="13" t="n">
        <x:f>COUNTIFS($D$8:$D$57,"&gt;"&amp;D54)+1</x:f>
        <x:v>47</x:v>
      </x:c>
      <x:c r="B54" s="8" t="str">
        <x:v>しかべ間歇泉公園</x:v>
      </x:c>
      <x:c r="C54" s="8" t="str">
        <x:v>北海道</x:v>
      </x:c>
      <x:c r="D54" s="10" t="n">
        <x:v>45</x:v>
      </x:c>
      <x:c r="E54" s="13" t="str">
        <x:v>約</x:v>
      </x:c>
      <x:c r="F54" s="8" t="str">
        <x:v>2024年度</x:v>
      </x:c>
      <x:c r="G54" s="8" t="str">
        <x:v>施設来場者・取材記事</x:v>
      </x:c>
      <x:c r="H54" s="2"/>
      <x:c r="I54" s="12" t="str">
        <x:v>https://inakagurashiweb.com/archives/74308/</x:v>
      </x:c>
    </x:row>
    <x:row r="55" ht="48" customHeight="1">
      <x:c r="A55" s="14" t="n">
        <x:f>COUNTIFS($D$8:$D$57,"&gt;"&amp;D55)+1</x:f>
        <x:v>48</x:v>
      </x:c>
      <x:c r="B55" s="15" t="str">
        <x:v>たがみ</x:v>
      </x:c>
      <x:c r="C55" s="15" t="str">
        <x:v>新潟県</x:v>
      </x:c>
      <x:c r="D55" s="16" t="n">
        <x:v>44.78</x:v>
      </x:c>
      <x:c r="E55" s="14" t="str"/>
      <x:c r="F55" s="15" t="str">
        <x:v>2024年</x:v>
      </x:c>
      <x:c r="G55" s="15" t="str">
        <x:v>県観光統計の観光地点入込客数（延べ人数）</x:v>
      </x:c>
      <x:c r="H55" s="2"/>
      <x:c r="I55" s="12" t="str">
        <x:v>https://www.pref.niigata.lg.jp/uploaded/attachment/494807.pdf</x:v>
      </x:c>
    </x:row>
    <x:row r="56" ht="48" customHeight="1">
      <x:c r="A56" s="13" t="n">
        <x:f>COUNTIFS($D$8:$D$57,"&gt;"&amp;D56)+1</x:f>
        <x:v>49</x:v>
      </x:c>
      <x:c r="B56" s="8" t="str">
        <x:v>厚岸グルメパーク</x:v>
      </x:c>
      <x:c r="C56" s="8" t="str">
        <x:v>北海道</x:v>
      </x:c>
      <x:c r="D56" s="10" t="n">
        <x:v>30</x:v>
      </x:c>
      <x:c r="E56" s="13" t="str">
        <x:v>超</x:v>
      </x:c>
      <x:c r="F56" s="8" t="str">
        <x:v>2023年度</x:v>
      </x:c>
      <x:c r="G56" s="8" t="str">
        <x:v>年間来館者数・地元新聞報道</x:v>
      </x:c>
      <x:c r="H56" s="2"/>
      <x:c r="I56" s="12" t="str">
        <x:v>https://hokkaido-nl.jp/article/34239</x:v>
      </x:c>
    </x:row>
    <x:row r="57" ht="48" customHeight="1">
      <x:c r="A57" s="14" t="n">
        <x:f>COUNTIFS($D$8:$D$57,"&gt;"&amp;D57)+1</x:f>
        <x:v>50</x:v>
      </x:c>
      <x:c r="B57" s="15" t="str">
        <x:v>ガーデンスパ十勝川温泉</x:v>
      </x:c>
      <x:c r="C57" s="15" t="str">
        <x:v>北海道</x:v>
      </x:c>
      <x:c r="D57" s="16" t="n">
        <x:v>23.7134</x:v>
      </x:c>
      <x:c r="E57" s="14" t="str"/>
      <x:c r="F57" s="15" t="str">
        <x:v>2024年度</x:v>
      </x:c>
      <x:c r="G57" s="15" t="str">
        <x:v>道公表の年間来場者数</x:v>
      </x:c>
      <x:c r="H57" s="2"/>
      <x:c r="I57" s="12" t="str">
        <x:v>https://www.pref.hokkaido.lg.jp/fs/1/2/1/2/7/3/5/0/_/16音更町_道の駅おとふけ及び道の駅ガーデンスパ十勝川温泉の設置運営.pdf</x:v>
      </x:c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5" customHeight="1">
      <x:c r="A60" s="17" t="str">
        <x:v>別指標のため集客50駅から除外した公表値</x:v>
      </x:c>
      <x:c r="B60" s="2"/>
      <x:c r="C60" s="2"/>
      <x:c r="D60" s="2"/>
      <x:c r="E60" s="2"/>
      <x:c r="F60" s="2"/>
      <x:c r="G60" s="2"/>
      <x:c r="H60" s="2"/>
      <x:c r="I60" s="2"/>
    </x:row>
    <x:row r="61" ht="25" customHeight="1">
      <x:c r="A61" s="18" t="str">
        <x:v>順位対象外</x:v>
      </x:c>
      <x:c r="B61" s="18" t="str">
        <x:v>道の駅</x:v>
      </x:c>
      <x:c r="C61" s="18" t="str">
        <x:v>都道府県</x:v>
      </x:c>
      <x:c r="D61" s="18" t="str">
        <x:v>人数（万人）</x:v>
      </x:c>
      <x:c r="E61" s="18" t="str">
        <x:v>原文表記</x:v>
      </x:c>
      <x:c r="F61" s="18" t="str">
        <x:v>対象期間</x:v>
      </x:c>
      <x:c r="G61" s="18" t="str">
        <x:v>除外理由・集計範囲</x:v>
      </x:c>
      <x:c r="H61" s="2"/>
      <x:c r="I61" s="2"/>
    </x:row>
    <x:row r="62" ht="54" customHeight="1">
      <x:c r="A62" s="2"/>
      <x:c r="B62" s="8" t="str">
        <x:v>うきは</x:v>
      </x:c>
      <x:c r="C62" s="8" t="str">
        <x:v>福岡県</x:v>
      </x:c>
      <x:c r="D62" s="19" t="n">
        <x:v>120</x:v>
      </x:c>
      <x:c r="E62" s="8" t="str">
        <x:v>約</x:v>
      </x:c>
      <x:c r="F62" s="8" t="str">
        <x:v>2024年度</x:v>
      </x:c>
      <x:c r="G62" s="8" t="str">
        <x:v>報道の年間来訪者。別の国資料では同規模値をレジ通過者と記載・要注意</x:v>
      </x:c>
      <x:c r="H62" s="2"/>
      <x:c r="I62" s="2" t="str">
        <x:v>https://www.fnn.jp/articles/-/873463?display=full</x:v>
      </x:c>
    </x:row>
    <x:row r="63" ht="54" customHeight="1">
      <x:c r="A63" s="2"/>
      <x:c r="B63" s="8" t="str">
        <x:v>グランテラス筑西</x:v>
      </x:c>
      <x:c r="C63" s="8" t="str">
        <x:v>茨城県</x:v>
      </x:c>
      <x:c r="D63" s="19" t="n">
        <x:v>120</x:v>
      </x:c>
      <x:c r="E63" s="8" t="str">
        <x:v>約</x:v>
      </x:c>
      <x:c r="F63" s="8" t="str">
        <x:v>年度不明（2024年視察資料）</x:v>
      </x:c>
      <x:c r="G63" s="8" t="str">
        <x:v>購買客数（来場者実測とは異なる）</x:v>
      </x:c>
      <x:c r="H63" s="2"/>
      <x:c r="I63" s="2" t="str">
        <x:v>https://www.toyokoro.jp/uploaded/attachment/6018.pdf</x:v>
      </x:c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</x:sheetData>
  <x:conditionalFormatting sqref="D8:D57">
    <x:cfRule type="containsBlanks" dxfId="0" priority="1"/>
  </x:conditionalFormatting>
  <x:conditionalFormatting sqref="G8:G57">
    <x:cfRule type="containsText" dxfId="1" priority="2" operator="containsText" text="会社・事業範囲に注意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D7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.4399995803833" hidden="0" customWidth="1"/>
    <x:col min="2" max="2" width="28" hidden="0" customWidth="1"/>
    <x:col min="3" max="3" width="10" hidden="0" customWidth="1"/>
    <x:col min="4" max="4" width="14.220000267028809" hidden="0" customWidth="1"/>
    <x:col min="5" max="5" width="7.559999942779541" hidden="0" customWidth="1"/>
    <x:col min="6" max="6" width="27.110000610351562" hidden="0" customWidth="1"/>
    <x:col min="7" max="7" width="45.560001373291016" hidden="0" customWidth="1"/>
    <x:col min="8" max="8" width="2.6700000762939453" hidden="0" customWidth="1"/>
    <x:col min="9" max="9" width="95.5599975585937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道の駅 売上高の公表値40駅と未確認10駅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全国TOP50を確定した表ではありません。40駅の確認値を降順に表示。残る10駅は順位・売上高を空欄にしています。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 t="str">
        <x:v>施設全体の販売額と運営会社売上が混在。黄色の会社売上は同条件で比較できません。税の扱いも未統一です。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 t="str">
        <x:v>調査日 2026年9月27日。2023〜2025年度・年度不明を含む固定表。概数・下限値による参考順です。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29" customHeight="1">
      <x:c r="A7" s="7" t="str">
        <x:v>参考順</x:v>
      </x:c>
      <x:c r="B7" s="7" t="str">
        <x:v>道の駅</x:v>
      </x:c>
      <x:c r="C7" s="7" t="str">
        <x:v>都道府県</x:v>
      </x:c>
      <x:c r="D7" s="7" t="str">
        <x:v>年間売上高（億円）</x:v>
      </x:c>
      <x:c r="E7" s="7" t="str">
        <x:v>原文表記</x:v>
      </x:c>
      <x:c r="F7" s="7" t="str">
        <x:v>対象期間</x:v>
      </x:c>
      <x:c r="G7" s="7" t="str">
        <x:v>集計範囲・比較上の注意</x:v>
      </x:c>
      <x:c r="H7" s="2"/>
      <x:c r="I7" s="2" t="str">
        <x:v>出典URL（各行の公表値）</x:v>
      </x:c>
    </x:row>
    <x:row r="8" ht="48" customHeight="1">
      <x:c r="A8" s="13" t="n">
        <x:f>COUNTIFS($D$8:$D$47,"&gt;"&amp;D8)+1</x:f>
        <x:v>1</x:v>
      </x:c>
      <x:c r="B8" s="8" t="str">
        <x:v>常総</x:v>
      </x:c>
      <x:c r="C8" s="8" t="str">
        <x:v>茨城県</x:v>
      </x:c>
      <x:c r="D8" s="21" t="n">
        <x:v>25</x:v>
      </x:c>
      <x:c r="E8" s="13" t="str">
        <x:v>約</x:v>
      </x:c>
      <x:c r="F8" s="8" t="str">
        <x:v>2024年度</x:v>
      </x:c>
      <x:c r="G8" s="8" t="str">
        <x:v>施設売上・視察先回答</x:v>
      </x:c>
      <x:c r="H8" s="2"/>
      <x:c r="I8" s="12" t="str">
        <x:v>https://www.city.obihiro.hokkaido.jp/_res/projects/default_project/_page_/001/021/866/r7keibun.pdf</x:v>
      </x:c>
    </x:row>
    <x:row r="9" ht="48" customHeight="1">
      <x:c r="A9" s="14" t="n">
        <x:f>COUNTIFS($D$8:$D$47,"&gt;"&amp;D9)+1</x:f>
        <x:v>1</x:v>
      </x:c>
      <x:c r="B9" s="15" t="str">
        <x:v>あらい</x:v>
      </x:c>
      <x:c r="C9" s="15" t="str">
        <x:v>新潟県</x:v>
      </x:c>
      <x:c r="D9" s="22" t="n">
        <x:v>25</x:v>
      </x:c>
      <x:c r="E9" s="14" t="str">
        <x:v>約</x:v>
      </x:c>
      <x:c r="F9" s="15" t="str">
        <x:v>2023年度</x:v>
      </x:c>
      <x:c r="G9" s="15" t="str">
        <x:v>市議会での言及・範囲要確認</x:v>
      </x:c>
      <x:c r="H9" s="2"/>
      <x:c r="I9" s="12" t="str">
        <x:v>https://www.city.mobara.chiba.jp/cmsfiles/contents/0000008/8445/24.12.05.pdf</x:v>
      </x:c>
    </x:row>
    <x:row r="10" ht="48" customHeight="1">
      <x:c r="A10" s="13" t="n">
        <x:f>COUNTIFS($D$8:$D$47,"&gt;"&amp;D10)+1</x:f>
        <x:v>3</x:v>
      </x:c>
      <x:c r="B10" s="8" t="str">
        <x:v>むなかた</x:v>
      </x:c>
      <x:c r="C10" s="8" t="str">
        <x:v>福岡県</x:v>
      </x:c>
      <x:c r="D10" s="21" t="n">
        <x:v>20.43</x:v>
      </x:c>
      <x:c r="E10" s="13" t="str"/>
      <x:c r="F10" s="8" t="str">
        <x:v>2023年度</x:v>
      </x:c>
      <x:c r="G10" s="8" t="str">
        <x:v>物産館＋テナント</x:v>
      </x:c>
      <x:c r="H10" s="2"/>
      <x:c r="I10" s="12" t="str">
        <x:v>https://www.city.munakata.lg.jp/kiji0038949/3_8949_7324_up_7ttxyjr5.pdf</x:v>
      </x:c>
    </x:row>
    <x:row r="11" ht="48" customHeight="1">
      <x:c r="A11" s="14" t="n">
        <x:f>COUNTIFS($D$8:$D$47,"&gt;"&amp;D11)+1</x:f>
        <x:v>4</x:v>
      </x:c>
      <x:c r="B11" s="15" t="str">
        <x:v>しもつけ</x:v>
      </x:c>
      <x:c r="C11" s="15" t="str">
        <x:v>栃木県</x:v>
      </x:c>
      <x:c r="D11" s="22" t="n">
        <x:v>20.04</x:v>
      </x:c>
      <x:c r="E11" s="14" t="str"/>
      <x:c r="F11" s="15" t="str">
        <x:v>2024年度</x:v>
      </x:c>
      <x:c r="G11" s="15" t="str">
        <x:v>会社・事業範囲に注意：運営会社売上・施設取扱高との範囲差要確認</x:v>
      </x:c>
      <x:c r="H11" s="2"/>
      <x:c r="I11" s="12" t="str">
        <x:v>https://jobcatalog.yahoo.co.jp/company/2001508553/information/</x:v>
      </x:c>
    </x:row>
    <x:row r="12" ht="48" customHeight="1">
      <x:c r="A12" s="13" t="n">
        <x:f>COUNTIFS($D$8:$D$47,"&gt;"&amp;D12)+1</x:f>
        <x:v>5</x:v>
      </x:c>
      <x:c r="B12" s="8" t="str">
        <x:v>あ・ら・伊達な道の駅</x:v>
      </x:c>
      <x:c r="C12" s="8" t="str">
        <x:v>宮城県</x:v>
      </x:c>
      <x:c r="D12" s="21" t="n">
        <x:v>20</x:v>
      </x:c>
      <x:c r="E12" s="13" t="str">
        <x:v>約</x:v>
      </x:c>
      <x:c r="F12" s="8" t="str">
        <x:v>年度不明（2025年9月取材）</x:v>
      </x:c>
      <x:c r="G12" s="8" t="str">
        <x:v>直近年間値・社長取材</x:v>
      </x:c>
      <x:c r="H12" s="2"/>
      <x:c r="I12" s="12" t="str">
        <x:v>https://www.itmedia.co.jp/business/spv/2509/05/news023.html</x:v>
      </x:c>
    </x:row>
    <x:row r="13" ht="48" customHeight="1">
      <x:c r="A13" s="14" t="n">
        <x:f>COUNTIFS($D$8:$D$47,"&gt;"&amp;D13)+1</x:f>
        <x:v>6</x:v>
      </x:c>
      <x:c r="B13" s="15" t="str">
        <x:v>米沢</x:v>
      </x:c>
      <x:c r="C13" s="15" t="str">
        <x:v>山形県</x:v>
      </x:c>
      <x:c r="D13" s="22" t="n">
        <x:v>18.21</x:v>
      </x:c>
      <x:c r="E13" s="14" t="str"/>
      <x:c r="F13" s="15" t="str">
        <x:v>2026年3月期</x:v>
      </x:c>
      <x:c r="G13" s="15" t="str">
        <x:v>会社・事業範囲に注意：運営会社・採用情報の自社公表値</x:v>
      </x:c>
      <x:c r="H13" s="2"/>
      <x:c r="I13" s="12" t="str">
        <x:v>https://job.mynavi.jp/28/pc/search/corp251543/outline.html</x:v>
      </x:c>
    </x:row>
    <x:row r="14" ht="48" customHeight="1">
      <x:c r="A14" s="13" t="n">
        <x:f>COUNTIFS($D$8:$D$47,"&gt;"&amp;D14)+1</x:f>
        <x:v>7</x:v>
      </x:c>
      <x:c r="B14" s="8" t="str">
        <x:v>川場田園プラザ</x:v>
      </x:c>
      <x:c r="C14" s="8" t="str">
        <x:v>群馬県</x:v>
      </x:c>
      <x:c r="D14" s="21" t="n">
        <x:v>18</x:v>
      </x:c>
      <x:c r="E14" s="13" t="str">
        <x:v>約</x:v>
      </x:c>
      <x:c r="F14" s="8" t="str">
        <x:v>2024年度</x:v>
      </x:c>
      <x:c r="G14" s="8" t="str">
        <x:v>田園プラザ単体（関連施設込み23億円とは区別）</x:v>
      </x:c>
      <x:c r="H14" s="2"/>
      <x:c r="I14" s="12" t="str">
        <x:v>https://enekei.jp/mmc/mailmagavol255-1.html</x:v>
      </x:c>
    </x:row>
    <x:row r="15" ht="48" customHeight="1">
      <x:c r="A15" s="14" t="n">
        <x:f>COUNTIFS($D$8:$D$47,"&gt;"&amp;D15)+1</x:f>
        <x:v>8</x:v>
      </x:c>
      <x:c r="B15" s="15" t="str">
        <x:v>どまんなかたぬま</x:v>
      </x:c>
      <x:c r="C15" s="15" t="str">
        <x:v>栃木県</x:v>
      </x:c>
      <x:c r="D15" s="22" t="n">
        <x:v>17</x:v>
      </x:c>
      <x:c r="E15" s="14" t="str">
        <x:v>超</x:v>
      </x:c>
      <x:c r="F15" s="15" t="str">
        <x:v>年度不明（2026年1月時点）</x:v>
      </x:c>
      <x:c r="G15" s="15" t="str">
        <x:v>会社・事業範囲に注意：年間売上・駅外事業の包含要確認</x:v>
      </x:c>
      <x:c r="H15" s="2"/>
      <x:c r="I15" s="12" t="str">
        <x:v>https://shachomeikan.jp/industry_article/5350</x:v>
      </x:c>
    </x:row>
    <x:row r="16" ht="48" customHeight="1">
      <x:c r="A16" s="13" t="n">
        <x:f>COUNTIFS($D$8:$D$47,"&gt;"&amp;D16)+1</x:f>
        <x:v>9</x:v>
      </x:c>
      <x:c r="B16" s="8" t="str">
        <x:v>グランテラス筑西</x:v>
      </x:c>
      <x:c r="C16" s="8" t="str">
        <x:v>茨城県</x:v>
      </x:c>
      <x:c r="D16" s="21" t="n">
        <x:v>14</x:v>
      </x:c>
      <x:c r="E16" s="13" t="str">
        <x:v>約</x:v>
      </x:c>
      <x:c r="F16" s="8" t="str">
        <x:v>年度不明（2024年視察資料）</x:v>
      </x:c>
      <x:c r="G16" s="8" t="str">
        <x:v>施設全体</x:v>
      </x:c>
      <x:c r="H16" s="2"/>
      <x:c r="I16" s="12" t="str">
        <x:v>https://www.toyokoro.jp/uploaded/attachment/6018.pdf</x:v>
      </x:c>
    </x:row>
    <x:row r="17" ht="48" customHeight="1">
      <x:c r="A17" s="14" t="n">
        <x:f>COUNTIFS($D$8:$D$47,"&gt;"&amp;D17)+1</x:f>
        <x:v>10</x:v>
      </x:c>
      <x:c r="B17" s="15" t="str">
        <x:v>ふくしま</x:v>
      </x:c>
      <x:c r="C17" s="15" t="str">
        <x:v>福島県</x:v>
      </x:c>
      <x:c r="D17" s="22" t="n">
        <x:v>13.9</x:v>
      </x:c>
      <x:c r="E17" s="14" t="str"/>
      <x:c r="F17" s="15" t="str">
        <x:v>2024年度</x:v>
      </x:c>
      <x:c r="G17" s="15" t="str">
        <x:v>市公表の年度実績</x:v>
      </x:c>
      <x:c r="H17" s="2"/>
      <x:c r="I17" s="12" t="str">
        <x:v>https://www.city.fukushima.fukushima.jp/material/files/group/1/2025100804.pdf</x:v>
      </x:c>
    </x:row>
    <x:row r="18" ht="48" customHeight="1">
      <x:c r="A18" s="13" t="n">
        <x:f>COUNTIFS($D$8:$D$47,"&gt;"&amp;D18)+1</x:f>
        <x:v>11</x:v>
      </x:c>
      <x:c r="B18" s="8" t="str">
        <x:v>うきは</x:v>
      </x:c>
      <x:c r="C18" s="8" t="str">
        <x:v>福岡県</x:v>
      </x:c>
      <x:c r="D18" s="21" t="n">
        <x:v>13.5</x:v>
      </x:c>
      <x:c r="E18" s="13" t="str">
        <x:v>約</x:v>
      </x:c>
      <x:c r="F18" s="8" t="str">
        <x:v>2024年度</x:v>
      </x:c>
      <x:c r="G18" s="8" t="str">
        <x:v>施設売上・報道値</x:v>
      </x:c>
      <x:c r="H18" s="2"/>
      <x:c r="I18" s="12" t="str">
        <x:v>https://www.fnn.jp/articles/-/873463?display=full</x:v>
      </x:c>
    </x:row>
    <x:row r="19" ht="48" customHeight="1">
      <x:c r="A19" s="14" t="n">
        <x:f>COUNTIFS($D$8:$D$47,"&gt;"&amp;D19)+1</x:f>
        <x:v>12</x:v>
      </x:c>
      <x:c r="B19" s="15" t="str">
        <x:v>木更津うまくたの里</x:v>
      </x:c>
      <x:c r="C19" s="15" t="str">
        <x:v>千葉県</x:v>
      </x:c>
      <x:c r="D19" s="22" t="n">
        <x:v>12</x:v>
      </x:c>
      <x:c r="E19" s="14" t="str">
        <x:v>約</x:v>
      </x:c>
      <x:c r="F19" s="15" t="str">
        <x:v>2024年・年度区分要確認</x:v>
      </x:c>
      <x:c r="G19" s="15" t="str">
        <x:v>施設売上・農水省掲載資料</x:v>
      </x:c>
      <x:c r="H19" s="2"/>
      <x:c r="I19" s="12" t="str">
        <x:v>https://www.maff.go.jp/j/nousin/tiiki/sesaku/attach/pdf/renais_tyusan-63.pdf</x:v>
      </x:c>
    </x:row>
    <x:row r="20" ht="48" customHeight="1">
      <x:c r="A20" s="13" t="n">
        <x:f>COUNTIFS($D$8:$D$47,"&gt;"&amp;D20)+1</x:f>
        <x:v>13</x:v>
      </x:c>
      <x:c r="B20" s="8" t="str">
        <x:v>季楽里あさひ</x:v>
      </x:c>
      <x:c r="C20" s="8" t="str">
        <x:v>千葉県</x:v>
      </x:c>
      <x:c r="D20" s="21" t="n">
        <x:v>10.53465</x:v>
      </x:c>
      <x:c r="E20" s="13" t="str"/>
      <x:c r="F20" s="8" t="str">
        <x:v>2024年度</x:v>
      </x:c>
      <x:c r="G20" s="8" t="str">
        <x:v>施設全体・税込</x:v>
      </x:c>
      <x:c r="H20" s="2"/>
      <x:c r="I20" s="12" t="str">
        <x:v>https://www.city.asahi.lg.jp/uploaded/attachment/31956.pdf</x:v>
      </x:c>
    </x:row>
    <x:row r="21" ht="48" customHeight="1">
      <x:c r="A21" s="14" t="n">
        <x:f>COUNTIFS($D$8:$D$47,"&gt;"&amp;D21)+1</x:f>
        <x:v>14</x:v>
      </x:c>
      <x:c r="B21" s="15" t="str">
        <x:v>保田小学校</x:v>
      </x:c>
      <x:c r="C21" s="15" t="str">
        <x:v>千葉県</x:v>
      </x:c>
      <x:c r="D21" s="22" t="n">
        <x:v>10.0357</x:v>
      </x:c>
      <x:c r="E21" s="14" t="str"/>
      <x:c r="F21" s="15" t="str">
        <x:v>2024年度</x:v>
      </x:c>
      <x:c r="G21" s="15" t="str">
        <x:v>施設売上・視察報告</x:v>
      </x:c>
      <x:c r="H21" s="2"/>
      <x:c r="I21" s="12" t="str">
        <x:v>https://www.city.kashiwazaki.lg.jp/material/files/group/51/kibou080420houkoku.pdf</x:v>
      </x:c>
    </x:row>
    <x:row r="22" ht="48" customHeight="1">
      <x:c r="A22" s="13" t="n">
        <x:f>COUNTIFS($D$8:$D$47,"&gt;"&amp;D22)+1</x:f>
        <x:v>15</x:v>
      </x:c>
      <x:c r="B22" s="8" t="str">
        <x:v>八王子滝山</x:v>
      </x:c>
      <x:c r="C22" s="8" t="str">
        <x:v>東京都</x:v>
      </x:c>
      <x:c r="D22" s="21" t="n">
        <x:v>10</x:v>
      </x:c>
      <x:c r="E22" s="13" t="str">
        <x:v>約</x:v>
      </x:c>
      <x:c r="F22" s="8" t="str">
        <x:v>2024年度</x:v>
      </x:c>
      <x:c r="G22" s="8" t="str">
        <x:v>事業実績・学術誌掲載</x:v>
      </x:c>
      <x:c r="H22" s="2"/>
      <x:c r="I22" s="12" t="str">
        <x:v>https://www.jstage.jst.go.jp/article/jahes/42/1/42_87/_html/-char/en</x:v>
      </x:c>
    </x:row>
    <x:row r="23" ht="48" customHeight="1">
      <x:c r="A23" s="14" t="n">
        <x:f>COUNTIFS($D$8:$D$47,"&gt;"&amp;D23)+1</x:f>
        <x:v>15</x:v>
      </x:c>
      <x:c r="B23" s="15" t="str">
        <x:v>みやま</x:v>
      </x:c>
      <x:c r="C23" s="15" t="str">
        <x:v>福岡県</x:v>
      </x:c>
      <x:c r="D23" s="22" t="n">
        <x:v>10</x:v>
      </x:c>
      <x:c r="E23" s="14" t="str">
        <x:v>超</x:v>
      </x:c>
      <x:c r="F23" s="15" t="str">
        <x:v>2024年度</x:v>
      </x:c>
      <x:c r="G23" s="15" t="str">
        <x:v>施設販売総額・詳細額は当該資料に記載なし</x:v>
      </x:c>
      <x:c r="H23" s="2"/>
      <x:c r="I23" s="12" t="str">
        <x:v>https://www.city.miyama.lg.jp/s002/shisei/090/100/030/3.outline_bill_2025.6.pdf</x:v>
      </x:c>
    </x:row>
    <x:row r="24" ht="48" customHeight="1">
      <x:c r="A24" s="13" t="n">
        <x:f>COUNTIFS($D$8:$D$47,"&gt;"&amp;D24)+1</x:f>
        <x:v>15</x:v>
      </x:c>
      <x:c r="B24" s="8" t="str">
        <x:v>国見あつかしの郷</x:v>
      </x:c>
      <x:c r="C24" s="8" t="str">
        <x:v>福島県</x:v>
      </x:c>
      <x:c r="D24" s="21" t="n">
        <x:v>10</x:v>
      </x:c>
      <x:c r="E24" s="13" t="str">
        <x:v>超</x:v>
      </x:c>
      <x:c r="F24" s="8" t="str">
        <x:v>2024年度</x:v>
      </x:c>
      <x:c r="G24" s="8" t="str">
        <x:v>直売所＋レストラン＋フードコーナー＋コンビニ</x:v>
      </x:c>
      <x:c r="H24" s="2"/>
      <x:c r="I24" s="12" t="str">
        <x:v>https://fukushima-doorproject.jp/fukushima-minpo-article/show/20250417123763</x:v>
      </x:c>
    </x:row>
    <x:row r="25" ht="48" customHeight="1">
      <x:c r="A25" s="14" t="n">
        <x:f>COUNTIFS($D$8:$D$47,"&gt;"&amp;D25)+1</x:f>
        <x:v>18</x:v>
      </x:c>
      <x:c r="B25" s="15" t="str">
        <x:v>上品の郷</x:v>
      </x:c>
      <x:c r="C25" s="15" t="str">
        <x:v>宮城県</x:v>
      </x:c>
      <x:c r="D25" s="22" t="n">
        <x:v>9.59527</x:v>
      </x:c>
      <x:c r="E25" s="14" t="str"/>
      <x:c r="F25" s="15" t="str">
        <x:v>2023年度</x:v>
      </x:c>
      <x:c r="G25" s="15" t="str">
        <x:v>施設全体の純売上（出品者売上等を含む）</x:v>
      </x:c>
      <x:c r="H25" s="2"/>
      <x:c r="I25" s="12" t="str">
        <x:v>https://www.city.ishinomaki.lg.jp/cont/10162000/600/0602/05_1-2.pdf</x:v>
      </x:c>
    </x:row>
    <x:row r="26" ht="48" customHeight="1">
      <x:c r="A26" s="13" t="n">
        <x:f>COUNTIFS($D$8:$D$47,"&gt;"&amp;D26)+1</x:f>
        <x:v>19</x:v>
      </x:c>
      <x:c r="B26" s="8" t="str">
        <x:v>やいた</x:v>
      </x:c>
      <x:c r="C26" s="8" t="str">
        <x:v>栃木県</x:v>
      </x:c>
      <x:c r="D26" s="21" t="n">
        <x:v>9</x:v>
      </x:c>
      <x:c r="E26" s="13" t="str">
        <x:v>超</x:v>
      </x:c>
      <x:c r="F26" s="8" t="str">
        <x:v>2024年度</x:v>
      </x:c>
      <x:c r="G26" s="8" t="str">
        <x:v>施設全体</x:v>
      </x:c>
      <x:c r="H26" s="2"/>
      <x:c r="I26" s="12" t="str">
        <x:v>https://www.city.yaita.tochigi.jp/uploaded/attachment/24098.pdf</x:v>
      </x:c>
    </x:row>
    <x:row r="27" ht="48" customHeight="1">
      <x:c r="A27" s="14" t="n">
        <x:f>COUNTIFS($D$8:$D$47,"&gt;"&amp;D27)+1</x:f>
        <x:v>20</x:v>
      </x:c>
      <x:c r="B27" s="15" t="str">
        <x:v>いたの</x:v>
      </x:c>
      <x:c r="C27" s="15" t="str">
        <x:v>徳島県</x:v>
      </x:c>
      <x:c r="D27" s="22" t="n">
        <x:v>8.37</x:v>
      </x:c>
      <x:c r="E27" s="14" t="str"/>
      <x:c r="F27" s="15" t="str">
        <x:v>2023年度</x:v>
      </x:c>
      <x:c r="G27" s="15" t="str">
        <x:v>施設売上・町議会答弁</x:v>
      </x:c>
      <x:c r="H27" s="2"/>
      <x:c r="I27" s="12" t="str">
        <x:v>https://www.town.itano.tokushima.jp/docs/2024090200018/files/664.pdf</x:v>
      </x:c>
    </x:row>
    <x:row r="28" ht="48" customHeight="1">
      <x:c r="A28" s="13" t="n">
        <x:f>COUNTIFS($D$8:$D$47,"&gt;"&amp;D28)+1</x:f>
        <x:v>21</x:v>
      </x:c>
      <x:c r="B28" s="8" t="str">
        <x:v>しもつま</x:v>
      </x:c>
      <x:c r="C28" s="8" t="str">
        <x:v>茨城県</x:v>
      </x:c>
      <x:c r="D28" s="21" t="n">
        <x:v>8</x:v>
      </x:c>
      <x:c r="E28" s="13" t="str">
        <x:v>台</x:v>
      </x:c>
      <x:c r="F28" s="8" t="str">
        <x:v>2023年度</x:v>
      </x:c>
      <x:c r="G28" s="8" t="str">
        <x:v>施設売上・原文８億円台（8.0〜8.9億円の範囲）</x:v>
      </x:c>
      <x:c r="H28" s="2"/>
      <x:c r="I28" s="12" t="str">
        <x:v>https://www.city.shimotsuma.lg.jp/data/doc/1722837689_doc_270_0.pdf</x:v>
      </x:c>
    </x:row>
    <x:row r="29" ht="48" customHeight="1">
      <x:c r="A29" s="14" t="n">
        <x:f>COUNTIFS($D$8:$D$47,"&gt;"&amp;D29)+1</x:f>
        <x:v>22</x:v>
      </x:c>
      <x:c r="B29" s="15" t="str">
        <x:v>伊東マリンタウン</x:v>
      </x:c>
      <x:c r="C29" s="15" t="str">
        <x:v>静岡県</x:v>
      </x:c>
      <x:c r="D29" s="22" t="n">
        <x:v>7.16123</x:v>
      </x:c>
      <x:c r="E29" s="14" t="str"/>
      <x:c r="F29" s="15" t="str">
        <x:v>2024年度</x:v>
      </x:c>
      <x:c r="G29" s="15" t="str">
        <x:v>会社・事業範囲に注意：運営会社売上（テナント総売上と異なる）</x:v>
      </x:c>
      <x:c r="H29" s="2"/>
      <x:c r="I29" s="12" t="str">
        <x:v>https://shop.ito-marinetown.co.jp/pages/会社概要</x:v>
      </x:c>
    </x:row>
    <x:row r="30" ht="48" customHeight="1">
      <x:c r="A30" s="13" t="n">
        <x:f>COUNTIFS($D$8:$D$47,"&gt;"&amp;D30)+1</x:f>
        <x:v>23</x:v>
      </x:c>
      <x:c r="B30" s="8" t="str">
        <x:v>ソレーネ周南</x:v>
      </x:c>
      <x:c r="C30" s="8" t="str">
        <x:v>山口県</x:v>
      </x:c>
      <x:c r="D30" s="21" t="n">
        <x:v>7.05197101</x:v>
      </x:c>
      <x:c r="E30" s="13" t="str"/>
      <x:c r="F30" s="8" t="str">
        <x:v>2024年度</x:v>
      </x:c>
      <x:c r="G30" s="8" t="str">
        <x:v>施設全体</x:v>
      </x:c>
      <x:c r="H30" s="2"/>
      <x:c r="I30" s="12" t="str">
        <x:v>https://www.city.shunan.lg.jp/uploaded/attachment/117232.pdf</x:v>
      </x:c>
    </x:row>
    <x:row r="31" ht="48" customHeight="1">
      <x:c r="A31" s="14" t="n">
        <x:f>COUNTIFS($D$8:$D$47,"&gt;"&amp;D31)+1</x:f>
        <x:v>24</x:v>
      </x:c>
      <x:c r="B31" s="15" t="str">
        <x:v>しろいし</x:v>
      </x:c>
      <x:c r="C31" s="15" t="str">
        <x:v>佐賀県</x:v>
      </x:c>
      <x:c r="D31" s="22" t="n">
        <x:v>7</x:v>
      </x:c>
      <x:c r="E31" s="14" t="str"/>
      <x:c r="F31" s="15" t="str">
        <x:v>2024年度</x:v>
      </x:c>
      <x:c r="G31" s="15" t="str">
        <x:v>町総合計画の実績（700百万円）</x:v>
      </x:c>
      <x:c r="H31" s="2"/>
      <x:c r="I31" s="12" t="str">
        <x:v>https://www.town.shiroishi.lg.jp/var/rev0/0033/9007/12582617352.pdf</x:v>
      </x:c>
    </x:row>
    <x:row r="32" ht="48" customHeight="1">
      <x:c r="A32" s="13" t="n">
        <x:f>COUNTIFS($D$8:$D$47,"&gt;"&amp;D32)+1</x:f>
        <x:v>25</x:v>
      </x:c>
      <x:c r="B32" s="8" t="str">
        <x:v>大和路へぐり</x:v>
      </x:c>
      <x:c r="C32" s="8" t="str">
        <x:v>奈良県</x:v>
      </x:c>
      <x:c r="D32" s="21" t="n">
        <x:v>6.2</x:v>
      </x:c>
      <x:c r="E32" s="13" t="str"/>
      <x:c r="F32" s="8" t="str">
        <x:v>2024年度</x:v>
      </x:c>
      <x:c r="G32" s="8" t="str">
        <x:v>年間売上</x:v>
      </x:c>
      <x:c r="H32" s="2"/>
      <x:c r="I32" s="12" t="str">
        <x:v>https://michi-no-eki.heguri-apc.jp/2025/10/17/道の駅大和路へぐりのあゆみ/1909/</x:v>
      </x:c>
    </x:row>
    <x:row r="33" ht="48" customHeight="1">
      <x:c r="A33" s="14" t="n">
        <x:f>COUNTIFS($D$8:$D$47,"&gt;"&amp;D33)+1</x:f>
        <x:v>26</x:v>
      </x:c>
      <x:c r="B33" s="15" t="str">
        <x:v>お茶の京都みなみやましろ村</x:v>
      </x:c>
      <x:c r="C33" s="15" t="str">
        <x:v>京都府</x:v>
      </x:c>
      <x:c r="D33" s="22" t="n">
        <x:v>6</x:v>
      </x:c>
      <x:c r="E33" s="14" t="str">
        <x:v>超</x:v>
      </x:c>
      <x:c r="F33" s="15" t="str">
        <x:v>2024年度</x:v>
      </x:c>
      <x:c r="G33" s="15" t="str">
        <x:v>会社・事業範囲に注意：施設売上・テレビ東京記事転載。駅外販売の包含要確認</x:v>
      </x:c>
      <x:c r="H33" s="2"/>
      <x:c r="I33" s="12" t="str">
        <x:v>https://news.livedoor.com/article/detail/29378069/</x:v>
      </x:c>
    </x:row>
    <x:row r="34" ht="48" customHeight="1">
      <x:c r="A34" s="13" t="n">
        <x:f>COUNTIFS($D$8:$D$47,"&gt;"&amp;D34)+1</x:f>
        <x:v>26</x:v>
      </x:c>
      <x:c r="B34" s="8" t="str">
        <x:v>厚岸グルメパーク</x:v>
      </x:c>
      <x:c r="C34" s="8" t="str">
        <x:v>北海道</x:v>
      </x:c>
      <x:c r="D34" s="21" t="n">
        <x:v>6</x:v>
      </x:c>
      <x:c r="E34" s="13" t="str">
        <x:v>超</x:v>
      </x:c>
      <x:c r="F34" s="8" t="str">
        <x:v>2023年度</x:v>
      </x:c>
      <x:c r="G34" s="8" t="str">
        <x:v>総売上高・地元新聞報道</x:v>
      </x:c>
      <x:c r="H34" s="2"/>
      <x:c r="I34" s="12" t="str">
        <x:v>https://hokkaido-nl.jp/article/34239</x:v>
      </x:c>
    </x:row>
    <x:row r="35" ht="48" customHeight="1">
      <x:c r="A35" s="14" t="n">
        <x:f>COUNTIFS($D$8:$D$47,"&gt;"&amp;D35)+1</x:f>
        <x:v>28</x:v>
      </x:c>
      <x:c r="B35" s="15" t="str">
        <x:v>北欧の風 道の駅とうべつ</x:v>
      </x:c>
      <x:c r="C35" s="15" t="str">
        <x:v>北海道</x:v>
      </x:c>
      <x:c r="D35" s="22" t="n">
        <x:v>5.34</x:v>
      </x:c>
      <x:c r="E35" s="14" t="str">
        <x:v>約</x:v>
      </x:c>
      <x:c r="F35" s="15" t="str">
        <x:v>2024年度</x:v>
      </x:c>
      <x:c r="G35" s="15" t="str">
        <x:v>町議会議員による決算紹介</x:v>
      </x:c>
      <x:c r="H35" s="2"/>
      <x:c r="I35" s="12" t="str">
        <x:v>https://www.sato-tatsu.com/post/tobetsu-gikai-202509</x:v>
      </x:c>
    </x:row>
    <x:row r="36" ht="48" customHeight="1">
      <x:c r="A36" s="13" t="n">
        <x:f>COUNTIFS($D$8:$D$47,"&gt;"&amp;D36)+1</x:f>
        <x:v>29</x:v>
      </x:c>
      <x:c r="B36" s="8" t="str">
        <x:v>みやま公園</x:v>
      </x:c>
      <x:c r="C36" s="8" t="str">
        <x:v>岡山県</x:v>
      </x:c>
      <x:c r="D36" s="21" t="n">
        <x:v>5.27585</x:v>
      </x:c>
      <x:c r="E36" s="13" t="str"/>
      <x:c r="F36" s="8" t="str">
        <x:v>2024年度</x:v>
      </x:c>
      <x:c r="G36" s="8" t="str">
        <x:v>施設総売上・市議視察報告</x:v>
      </x:c>
      <x:c r="H36" s="2"/>
      <x:c r="I36" s="12" t="str">
        <x:v>https://www.komei.or.jp/km/yotsumoto-naomi-satte/2026/01/16/常任委員会合同行政視察②/</x:v>
      </x:c>
    </x:row>
    <x:row r="37" ht="48" customHeight="1">
      <x:c r="A37" s="14" t="n">
        <x:f>COUNTIFS($D$8:$D$47,"&gt;"&amp;D37)+1</x:f>
        <x:v>30</x:v>
      </x:c>
      <x:c r="B37" s="15" t="str">
        <x:v>ふたつい</x:v>
      </x:c>
      <x:c r="C37" s="15" t="str">
        <x:v>秋田県</x:v>
      </x:c>
      <x:c r="D37" s="22" t="n">
        <x:v>5.0614141</x:v>
      </x:c>
      <x:c r="E37" s="14" t="str"/>
      <x:c r="F37" s="15" t="str">
        <x:v>2024年度</x:v>
      </x:c>
      <x:c r="G37" s="15" t="str">
        <x:v>市公表・販売額</x:v>
      </x:c>
      <x:c r="H37" s="2"/>
      <x:c r="I37" s="12" t="str">
        <x:v>https://www.city.noshiro.lg.jp/up/files/www/city/yosan-kessan/kessan/shisaku-seika/shuyounasesakuR6.pdf</x:v>
      </x:c>
    </x:row>
    <x:row r="38" ht="48" customHeight="1">
      <x:c r="A38" s="13" t="n">
        <x:f>COUNTIFS($D$8:$D$47,"&gt;"&amp;D38)+1</x:f>
        <x:v>31</x:v>
      </x:c>
      <x:c r="B38" s="8" t="str">
        <x:v>妹子の郷</x:v>
      </x:c>
      <x:c r="C38" s="8" t="str">
        <x:v>滋賀県</x:v>
      </x:c>
      <x:c r="D38" s="21" t="n">
        <x:v>5.04324</x:v>
      </x:c>
      <x:c r="E38" s="13" t="str"/>
      <x:c r="F38" s="8" t="str">
        <x:v>2024年度</x:v>
      </x:c>
      <x:c r="G38" s="8" t="str">
        <x:v>指定管理実績の収入（売上）</x:v>
      </x:c>
      <x:c r="H38" s="2"/>
      <x:c r="I38" s="12" t="str">
        <x:v>https://www.city.otsu.lg.jp/material/files/group/115/19r6imoko.pdf</x:v>
      </x:c>
    </x:row>
    <x:row r="39" ht="48" customHeight="1">
      <x:c r="A39" s="14" t="n">
        <x:f>COUNTIFS($D$8:$D$47,"&gt;"&amp;D39)+1</x:f>
        <x:v>32</x:v>
      </x:c>
      <x:c r="B39" s="15" t="str">
        <x:v>明治の森・黒磯</x:v>
      </x:c>
      <x:c r="C39" s="15" t="str">
        <x:v>栃木県</x:v>
      </x:c>
      <x:c r="D39" s="22" t="n">
        <x:v>5</x:v>
      </x:c>
      <x:c r="E39" s="14" t="str">
        <x:v>超</x:v>
      </x:c>
      <x:c r="F39" s="15" t="str">
        <x:v>2024年度</x:v>
      </x:c>
      <x:c r="G39" s="15" t="str">
        <x:v>会社・事業範囲に注意：運営会社報告・4/26リニューアルで営業期間注意</x:v>
      </x:c>
      <x:c r="H39" s="2"/>
      <x:c r="I39" s="12" t="str">
        <x:v>https://www.city.nasushiobara.tochigi.jp/material/files/group/60/hokoku18bessatsu02.pdf</x:v>
      </x:c>
    </x:row>
    <x:row r="40" ht="48" customHeight="1">
      <x:c r="A40" s="13" t="n">
        <x:f>COUNTIFS($D$8:$D$47,"&gt;"&amp;D40)+1</x:f>
        <x:v>33</x:v>
      </x:c>
      <x:c r="B40" s="8" t="str">
        <x:v>大谷海岸</x:v>
      </x:c>
      <x:c r="C40" s="8" t="str">
        <x:v>宮城県</x:v>
      </x:c>
      <x:c r="D40" s="21" t="n">
        <x:v>4.8</x:v>
      </x:c>
      <x:c r="E40" s="13" t="str">
        <x:v>約</x:v>
      </x:c>
      <x:c r="F40" s="8" t="str">
        <x:v>2024年度</x:v>
      </x:c>
      <x:c r="G40" s="8" t="str">
        <x:v>直売委託販売を総額に直した実質売上・議員決算報告</x:v>
      </x:c>
      <x:c r="H40" s="2"/>
      <x:c r="I40" s="12" t="str">
        <x:v>https://imakawa.net/議会活動/7436.html</x:v>
      </x:c>
    </x:row>
    <x:row r="41" ht="48" customHeight="1">
      <x:c r="A41" s="14" t="n">
        <x:f>COUNTIFS($D$8:$D$47,"&gt;"&amp;D41)+1</x:f>
        <x:v>34</x:v>
      </x:c>
      <x:c r="B41" s="15" t="str">
        <x:v>朝日</x:v>
      </x:c>
      <x:c r="C41" s="15" t="str">
        <x:v>新潟県</x:v>
      </x:c>
      <x:c r="D41" s="22" t="n">
        <x:v>4.5</x:v>
      </x:c>
      <x:c r="E41" s="14" t="str">
        <x:v>約</x:v>
      </x:c>
      <x:c r="F41" s="15" t="str">
        <x:v>2023年度</x:v>
      </x:c>
      <x:c r="G41" s="15" t="str">
        <x:v>リニューアル事業公表の実績値</x:v>
      </x:c>
      <x:c r="H41" s="2"/>
      <x:c r="I41" s="12" t="str">
        <x:v>https://kifuru.jp/projects/1472/</x:v>
      </x:c>
    </x:row>
    <x:row r="42" ht="48" customHeight="1">
      <x:c r="A42" s="13" t="n">
        <x:f>COUNTIFS($D$8:$D$47,"&gt;"&amp;D42)+1</x:f>
        <x:v>35</x:v>
      </x:c>
      <x:c r="B42" s="8" t="str">
        <x:v>ごか</x:v>
      </x:c>
      <x:c r="C42" s="8" t="str">
        <x:v>茨城県</x:v>
      </x:c>
      <x:c r="D42" s="21" t="n">
        <x:v>3.7511</x:v>
      </x:c>
      <x:c r="E42" s="13" t="str"/>
      <x:c r="F42" s="8" t="str">
        <x:v>2024年度</x:v>
      </x:c>
      <x:c r="G42" s="8" t="str">
        <x:v>道の駅売上・議会答弁</x:v>
      </x:c>
      <x:c r="H42" s="2"/>
      <x:c r="I42" s="12" t="str">
        <x:v>https://www.town.goka.lg.jp/data/doc/1764723812_doc_88_0.pdf</x:v>
      </x:c>
    </x:row>
    <x:row r="43" ht="48" customHeight="1">
      <x:c r="A43" s="14" t="n">
        <x:f>COUNTIFS($D$8:$D$47,"&gt;"&amp;D43)+1</x:f>
        <x:v>36</x:v>
      </x:c>
      <x:c r="B43" s="15" t="str">
        <x:v>アリストぬまくま</x:v>
      </x:c>
      <x:c r="C43" s="15" t="str">
        <x:v>広島県</x:v>
      </x:c>
      <x:c r="D43" s="22" t="n">
        <x:v>2.8505</x:v>
      </x:c>
      <x:c r="E43" s="14" t="str"/>
      <x:c r="F43" s="15" t="str">
        <x:v>2024年度</x:v>
      </x:c>
      <x:c r="G43" s="15" t="str">
        <x:v>施設売上</x:v>
      </x:c>
      <x:c r="H43" s="2"/>
      <x:c r="I43" s="12" t="str">
        <x:v>https://www.city.fukuyama.hiroshima.jp/uploaded/attachment/321838.pdf</x:v>
      </x:c>
    </x:row>
    <x:row r="44" ht="48" customHeight="1">
      <x:c r="A44" s="13" t="n">
        <x:f>COUNTIFS($D$8:$D$47,"&gt;"&amp;D44)+1</x:f>
        <x:v>37</x:v>
      </x:c>
      <x:c r="B44" s="8" t="str">
        <x:v>おおき</x:v>
      </x:c>
      <x:c r="C44" s="8" t="str">
        <x:v>福岡県</x:v>
      </x:c>
      <x:c r="D44" s="21" t="n">
        <x:v>2.27692</x:v>
      </x:c>
      <x:c r="E44" s="13" t="str"/>
      <x:c r="F44" s="8" t="str">
        <x:v>2023年度</x:v>
      </x:c>
      <x:c r="G44" s="8" t="str">
        <x:v>直売所＋レストラン。ふるさと納税分含有の可能性に注意</x:v>
      </x:c>
      <x:c r="H44" s="2"/>
      <x:c r="I44" s="12" t="str">
        <x:v>https://www.town.ooki.lg.jp/material/files/group/25/R5syuyounasesakunoseika.pdf</x:v>
      </x:c>
    </x:row>
    <x:row r="45" ht="48" customHeight="1">
      <x:c r="A45" s="14" t="n">
        <x:f>COUNTIFS($D$8:$D$47,"&gt;"&amp;D45)+1</x:f>
        <x:v>38</x:v>
      </x:c>
      <x:c r="B45" s="15" t="str">
        <x:v>しかべ間歇泉公園</x:v>
      </x:c>
      <x:c r="C45" s="15" t="str">
        <x:v>北海道</x:v>
      </x:c>
      <x:c r="D45" s="22" t="n">
        <x:v>1.5</x:v>
      </x:c>
      <x:c r="E45" s="14" t="str">
        <x:v>超</x:v>
      </x:c>
      <x:c r="F45" s="15" t="str">
        <x:v>2024年度</x:v>
      </x:c>
      <x:c r="G45" s="15" t="str">
        <x:v>施設売上・取材記事</x:v>
      </x:c>
      <x:c r="H45" s="2"/>
      <x:c r="I45" s="12" t="str">
        <x:v>https://inakagurashiweb.com/archives/74308/</x:v>
      </x:c>
    </x:row>
    <x:row r="46" ht="48" customHeight="1">
      <x:c r="A46" s="13" t="n">
        <x:f>COUNTIFS($D$8:$D$47,"&gt;"&amp;D46)+1</x:f>
        <x:v>39</x:v>
      </x:c>
      <x:c r="B46" s="8" t="str">
        <x:v>インフォメーションセンターかわもと</x:v>
      </x:c>
      <x:c r="C46" s="8" t="str">
        <x:v>島根県</x:v>
      </x:c>
      <x:c r="D46" s="21" t="n">
        <x:v>1.466</x:v>
      </x:c>
      <x:c r="E46" s="13" t="str"/>
      <x:c r="F46" s="8" t="str">
        <x:v>2024年度</x:v>
      </x:c>
      <x:c r="G46" s="8" t="str">
        <x:v>町総合計画KPI・道の駅年間売上（百万円）</x:v>
      </x:c>
      <x:c r="H46" s="2"/>
      <x:c r="I46" s="12" t="str">
        <x:v>https://www.town.shimane-kawamoto.lg.jp/files/original/2025091015405883036f09720.pdf</x:v>
      </x:c>
    </x:row>
    <x:row r="47" ht="48" customHeight="1">
      <x:c r="A47" s="14" t="n">
        <x:f>COUNTIFS($D$8:$D$47,"&gt;"&amp;D47)+1</x:f>
        <x:v>40</x:v>
      </x:c>
      <x:c r="B47" s="15" t="str">
        <x:v>いくさかの郷</x:v>
      </x:c>
      <x:c r="C47" s="15" t="str">
        <x:v>長野県</x:v>
      </x:c>
      <x:c r="D47" s="22" t="n">
        <x:v>1.18</x:v>
      </x:c>
      <x:c r="E47" s="14" t="str">
        <x:v>約</x:v>
      </x:c>
      <x:c r="F47" s="15" t="str">
        <x:v>2025年度</x:v>
      </x:c>
      <x:c r="G47" s="15" t="str">
        <x:v>村長による決算報告・その他収入を除く</x:v>
      </x:c>
      <x:c r="H47" s="2"/>
      <x:c r="I47" s="12" t="str">
        <x:v>https://ameblo.jp/yasuhiko-fujisawa/entry-12966953020.html</x:v>
      </x:c>
    </x:row>
    <x:row r="48" ht="48" customHeight="1">
      <x:c r="A48" s="23"/>
      <x:c r="B48" s="24" t="str">
        <x:v>まえばし赤城</x:v>
      </x:c>
      <x:c r="C48" s="24" t="str">
        <x:v>群馬県</x:v>
      </x:c>
      <x:c r="D48" s="25"/>
      <x:c r="E48" s="23" t="str">
        <x:v>未確認</x:v>
      </x:c>
      <x:c r="F48" s="24" t="str">
        <x:v>未確認</x:v>
      </x:c>
      <x:c r="G48" s="24" t="str">
        <x:v>施設全体の年間販売額を未確認。全国順位は付けられない。</x:v>
      </x:c>
      <x:c r="H48" s="2"/>
      <x:c r="I48" s="12" t="str">
        <x:v>未確認：順位対象外</x:v>
      </x:c>
    </x:row>
    <x:row r="49" ht="48" customHeight="1">
      <x:c r="A49" s="23"/>
      <x:c r="B49" s="24" t="str">
        <x:v>富士川楽座</x:v>
      </x:c>
      <x:c r="C49" s="24" t="str">
        <x:v>静岡県</x:v>
      </x:c>
      <x:c r="D49" s="25"/>
      <x:c r="E49" s="23" t="str">
        <x:v>未確認</x:v>
      </x:c>
      <x:c r="F49" s="24" t="str">
        <x:v>未確認</x:v>
      </x:c>
      <x:c r="G49" s="24" t="str">
        <x:v>施設全体の年間販売額を未確認。全国順位は付けられない。</x:v>
      </x:c>
      <x:c r="H49" s="2"/>
      <x:c r="I49" s="12" t="str">
        <x:v>未確認：順位対象外</x:v>
      </x:c>
    </x:row>
    <x:row r="50" ht="48" customHeight="1">
      <x:c r="A50" s="23"/>
      <x:c r="B50" s="24" t="str">
        <x:v>みぶ</x:v>
      </x:c>
      <x:c r="C50" s="24" t="str">
        <x:v>栃木県</x:v>
      </x:c>
      <x:c r="D50" s="25"/>
      <x:c r="E50" s="23" t="str">
        <x:v>未確認</x:v>
      </x:c>
      <x:c r="F50" s="24" t="str">
        <x:v>未確認</x:v>
      </x:c>
      <x:c r="G50" s="24" t="str">
        <x:v>施設全体の年間販売額を未確認。全国順位は付けられない。</x:v>
      </x:c>
      <x:c r="H50" s="2"/>
      <x:c r="I50" s="12" t="str">
        <x:v>未確認：順位対象外</x:v>
      </x:c>
    </x:row>
    <x:row r="51" ht="48" customHeight="1">
      <x:c r="A51" s="23"/>
      <x:c r="B51" s="24" t="str">
        <x:v>ふじおか（ららん藤岡）</x:v>
      </x:c>
      <x:c r="C51" s="24" t="str">
        <x:v>群馬県</x:v>
      </x:c>
      <x:c r="D51" s="25"/>
      <x:c r="E51" s="23" t="str">
        <x:v>未確認</x:v>
      </x:c>
      <x:c r="F51" s="24" t="str">
        <x:v>未確認</x:v>
      </x:c>
      <x:c r="G51" s="24" t="str">
        <x:v>施設全体の年間販売額を未確認。全国順位は付けられない。</x:v>
      </x:c>
      <x:c r="H51" s="2"/>
      <x:c r="I51" s="12" t="str">
        <x:v>未確認：順位対象外</x:v>
      </x:c>
    </x:row>
    <x:row r="52" ht="48" customHeight="1">
      <x:c r="A52" s="23"/>
      <x:c r="B52" s="24" t="str">
        <x:v>とよはし</x:v>
      </x:c>
      <x:c r="C52" s="24" t="str">
        <x:v>愛知県</x:v>
      </x:c>
      <x:c r="D52" s="25"/>
      <x:c r="E52" s="23" t="str">
        <x:v>未確認</x:v>
      </x:c>
      <x:c r="F52" s="24" t="str">
        <x:v>未確認</x:v>
      </x:c>
      <x:c r="G52" s="24" t="str">
        <x:v>施設全体の年間販売額を未確認。全国順位は付けられない。</x:v>
      </x:c>
      <x:c r="H52" s="2"/>
      <x:c r="I52" s="12" t="str">
        <x:v>未確認：順位対象外</x:v>
      </x:c>
    </x:row>
    <x:row r="53" ht="48" customHeight="1">
      <x:c r="A53" s="23"/>
      <x:c r="B53" s="24" t="str">
        <x:v>伊豆ゲートウェイ函南</x:v>
      </x:c>
      <x:c r="C53" s="24" t="str">
        <x:v>静岡県</x:v>
      </x:c>
      <x:c r="D53" s="25"/>
      <x:c r="E53" s="23" t="str">
        <x:v>未確認</x:v>
      </x:c>
      <x:c r="F53" s="24" t="str">
        <x:v>未確認</x:v>
      </x:c>
      <x:c r="G53" s="24" t="str">
        <x:v>施設全体の年間販売額を未確認。全国順位は付けられない。</x:v>
      </x:c>
      <x:c r="H53" s="2"/>
      <x:c r="I53" s="12" t="str">
        <x:v>未確認：順位対象外</x:v>
      </x:c>
    </x:row>
    <x:row r="54" ht="48" customHeight="1">
      <x:c r="A54" s="23"/>
      <x:c r="B54" s="24" t="str">
        <x:v>伊達の郷りょうぜん</x:v>
      </x:c>
      <x:c r="C54" s="24" t="str">
        <x:v>福島県</x:v>
      </x:c>
      <x:c r="D54" s="25"/>
      <x:c r="E54" s="23" t="str">
        <x:v>未確認</x:v>
      </x:c>
      <x:c r="F54" s="24" t="str">
        <x:v>未確認</x:v>
      </x:c>
      <x:c r="G54" s="24" t="str">
        <x:v>施設全体の年間販売額を未確認。全国順位は付けられない。</x:v>
      </x:c>
      <x:c r="H54" s="2"/>
      <x:c r="I54" s="12" t="str">
        <x:v>未確認：順位対象外</x:v>
      </x:c>
    </x:row>
    <x:row r="55" ht="48" customHeight="1">
      <x:c r="A55" s="23"/>
      <x:c r="B55" s="24" t="str">
        <x:v>あいづ 湯川・会津坂下</x:v>
      </x:c>
      <x:c r="C55" s="24" t="str">
        <x:v>福島県</x:v>
      </x:c>
      <x:c r="D55" s="25"/>
      <x:c r="E55" s="23" t="str">
        <x:v>未確認</x:v>
      </x:c>
      <x:c r="F55" s="24" t="str">
        <x:v>未確認</x:v>
      </x:c>
      <x:c r="G55" s="24" t="str">
        <x:v>施設全体の年間販売額を未確認。全国順位は付けられない。</x:v>
      </x:c>
      <x:c r="H55" s="2"/>
      <x:c r="I55" s="12" t="str">
        <x:v>未確認：順位対象外</x:v>
      </x:c>
    </x:row>
    <x:row r="56" ht="48" customHeight="1">
      <x:c r="A56" s="23"/>
      <x:c r="B56" s="24" t="str">
        <x:v>おとふけ</x:v>
      </x:c>
      <x:c r="C56" s="24" t="str">
        <x:v>北海道</x:v>
      </x:c>
      <x:c r="D56" s="25"/>
      <x:c r="E56" s="23" t="str">
        <x:v>未確認</x:v>
      </x:c>
      <x:c r="F56" s="24" t="str">
        <x:v>未確認</x:v>
      </x:c>
      <x:c r="G56" s="24" t="str">
        <x:v>施設全体の年間販売額を未確認。全国順位は付けられない。</x:v>
      </x:c>
      <x:c r="H56" s="2"/>
      <x:c r="I56" s="12" t="str">
        <x:v>未確認：順位対象外</x:v>
      </x:c>
    </x:row>
    <x:row r="57" ht="48" customHeight="1">
      <x:c r="A57" s="23"/>
      <x:c r="B57" s="24" t="str">
        <x:v>水の郷さわら</x:v>
      </x:c>
      <x:c r="C57" s="24" t="str">
        <x:v>千葉県</x:v>
      </x:c>
      <x:c r="D57" s="25"/>
      <x:c r="E57" s="23" t="str">
        <x:v>未確認</x:v>
      </x:c>
      <x:c r="F57" s="24" t="str">
        <x:v>未確認</x:v>
      </x:c>
      <x:c r="G57" s="24" t="str">
        <x:v>施設全体の年間販売額を未確認。全国順位は付けられない。</x:v>
      </x:c>
      <x:c r="H57" s="2"/>
      <x:c r="I57" s="12" t="str">
        <x:v>未確認：順位対象外</x:v>
      </x:c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5" customHeight="1">
      <x:c r="A60" s="2" t="str">
        <x:v>読み方：売上高は利益・地域経済への波及効果ではありません。来場者数との年度・範囲が違うため客単価は算出していません。</x:v>
      </x:c>
      <x:c r="B60" s="2"/>
      <x:c r="C60" s="2"/>
      <x:c r="D60" s="2"/>
      <x:c r="E60" s="2"/>
      <x:c r="F60" s="2"/>
      <x:c r="G60" s="2"/>
      <x:c r="H60" s="2"/>
      <x:c r="I60" s="2"/>
    </x:row>
    <x:row r="61" ht="25" customHeight="1">
      <x:c r="A61" s="2" t="str">
        <x:v>「超」「以上」は下限、「台」は幅を示します。未確認はゼロや低順位を意味しません。</x:v>
      </x:c>
      <x:c r="B61" s="2"/>
      <x:c r="C61" s="2"/>
      <x:c r="D61" s="2"/>
      <x:c r="E61" s="2"/>
      <x:c r="F61" s="2"/>
      <x:c r="G61" s="2"/>
      <x:c r="H61" s="2"/>
      <x:c r="I61" s="2"/>
    </x:row>
    <x:row r="62" ht="25" customHeight="1">
      <x:c r="A62" s="2" t="str">
        <x:v>調査対象は公開資料を確認できた駅を中心に選定。全登録駅を網羅しておらず、掲載外により大きい施設があり得ます。</x:v>
      </x:c>
      <x:c r="B62" s="2"/>
      <x:c r="C62" s="2"/>
      <x:c r="D62" s="2"/>
      <x:c r="E62" s="2"/>
      <x:c r="F62" s="2"/>
      <x:c r="G62" s="2"/>
      <x:c r="H62" s="2"/>
      <x:c r="I62" s="2"/>
    </x:row>
    <x:row r="63" ht="25" customHeight="1">
      <x:c r="A63" s="2" t="str">
        <x:v>施設全体の売上を未確認の10駅：自治体の指定管理実績、運営者決算、施設・テナント合計の確認が必要です。</x:v>
      </x:c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</x:sheetData>
  <x:conditionalFormatting sqref="D8:D57">
    <x:cfRule type="containsBlanks" dxfId="2" priority="1"/>
  </x:conditionalFormatting>
  <x:conditionalFormatting sqref="G8:G57">
    <x:cfRule type="containsText" dxfId="3" priority="2" operator="containsText" text="会社・事業範囲に注意"/>
  </x:conditionalFormatting>
  <x:pageMargins left="0.7" right="0.7" top="0.75" bottom="0.75" header="0.3" footer="0.3"/>
</x:worksheet>
</file>